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BA_RUGI" sheetId="3" state="visible" r:id="rId3"/>
    <sheet xmlns:r="http://schemas.openxmlformats.org/officeDocument/2006/relationships" name="NERACA" sheetId="4" state="visible" r:id="rId4"/>
    <sheet xmlns:r="http://schemas.openxmlformats.org/officeDocument/2006/relationships" name="GRAFIK" sheetId="5" state="visible" r:id="rId5"/>
    <sheet xmlns:r="http://schemas.openxmlformats.org/officeDocument/2006/relationships" name="RULE_KATEGORI" sheetId="6" state="visible" r:id="rId6"/>
    <sheet xmlns:r="http://schemas.openxmlformats.org/officeDocument/2006/relationships" name="TEMPLATE_BULAN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Grafik Keuangan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'GRAFIK'!$A$2:$A$4</f>
            </numRef>
          </cat>
          <val>
            <numRef>
              <f>'GRAFIK'!$B$2:$B$4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Keuangan per Kategori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'GRAFIK'!$A$8:$A$13</f>
            </numRef>
          </cat>
          <val>
            <numRef>
              <f>'GRAFIK'!$B$8:$B$13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Debit</t>
        </is>
      </c>
      <c r="D1" s="1" t="inlineStr">
        <is>
          <t>Kredit</t>
        </is>
      </c>
      <c r="E1" s="1" t="inlineStr">
        <is>
          <t>Kategori</t>
        </is>
      </c>
      <c r="F1" s="1" t="inlineStr">
        <is>
          <t>Sub Kategori</t>
        </is>
      </c>
      <c r="G1" s="1" t="inlineStr">
        <is>
          <t>Bulan</t>
        </is>
      </c>
      <c r="H1" s="1" t="inlineStr">
        <is>
          <t>Tahun</t>
        </is>
      </c>
    </row>
    <row r="2">
      <c r="A2" t="inlineStr">
        <is>
          <t>01/12</t>
        </is>
      </c>
      <c r="B2" t="inlineStr">
        <is>
          <t>SALDO</t>
        </is>
      </c>
      <c r="C2" t="n">
        <v>0</v>
      </c>
      <c r="D2" t="n">
        <v>18829574</v>
      </c>
      <c r="E2">
        <f>IFERROR(LOOKUP(2^15,SEARCH(RULE_KATEGORI!$A$2:$A$100,B2),RULE_KATEGORI!$B$2:$B$100),"OPERASIONAL")</f>
        <v/>
      </c>
      <c r="G2" t="inlineStr">
        <is>
          <t>12</t>
        </is>
      </c>
      <c r="H2" t="inlineStr">
        <is>
          <t>2025</t>
        </is>
      </c>
    </row>
    <row r="3">
      <c r="A3" t="inlineStr">
        <is>
          <t>01/12</t>
        </is>
      </c>
      <c r="B3" t="inlineStr">
        <is>
          <t>BI-FAST CR BIF TRANSFER DR</t>
        </is>
      </c>
      <c r="C3" t="inlineStr">
        <is>
          <t>600000000</t>
        </is>
      </c>
      <c r="D3" t="inlineStr">
        <is>
          <t>618829574</t>
        </is>
      </c>
      <c r="E3">
        <f>IFERROR(LOOKUP(2^15,SEARCH(RULE_KATEGORI!$A$2:$A$100,B3),RULE_KATEGORI!$B$2:$B$100),"OPERASIONAL")</f>
        <v/>
      </c>
      <c r="G3" t="inlineStr">
        <is>
          <t>12</t>
        </is>
      </c>
      <c r="H3" t="inlineStr">
        <is>
          <t>2025</t>
        </is>
      </c>
    </row>
    <row r="4">
      <c r="A4" t="inlineStr">
        <is>
          <t>01/12</t>
        </is>
      </c>
      <c r="B4" t="inlineStr">
        <is>
          <t>BYR VIA E-BANKING 01/12 WSID9527100</t>
        </is>
      </c>
      <c r="C4" t="n">
        <v>10300000</v>
      </c>
      <c r="D4" t="n">
        <v>0</v>
      </c>
      <c r="E4">
        <f>IFERROR(LOOKUP(2^15,SEARCH(RULE_KATEGORI!$A$2:$A$100,B4),RULE_KATEGORI!$B$2:$B$100),"OPERASIONAL")</f>
        <v/>
      </c>
      <c r="G4" t="inlineStr">
        <is>
          <t>12</t>
        </is>
      </c>
      <c r="H4" t="inlineStr">
        <is>
          <t>2025</t>
        </is>
      </c>
    </row>
    <row r="5">
      <c r="A5" t="inlineStr">
        <is>
          <t>01/12</t>
        </is>
      </c>
      <c r="B5" t="inlineStr">
        <is>
          <t>TRSF E-BANKING DB 0112/FTSCY/WS95271</t>
        </is>
      </c>
      <c r="C5" t="n">
        <v>470000000</v>
      </c>
      <c r="D5" t="n">
        <v>0</v>
      </c>
      <c r="E5">
        <f>IFERROR(LOOKUP(2^15,SEARCH(RULE_KATEGORI!$A$2:$A$100,B5),RULE_KATEGORI!$B$2:$B$100),"OPERASIONAL")</f>
        <v/>
      </c>
      <c r="G5" t="inlineStr">
        <is>
          <t>12</t>
        </is>
      </c>
      <c r="H5" t="inlineStr">
        <is>
          <t>2025</t>
        </is>
      </c>
    </row>
    <row r="6">
      <c r="A6" t="inlineStr">
        <is>
          <t>01/12</t>
        </is>
      </c>
      <c r="B6" t="inlineStr">
        <is>
          <t>TRSF E-BANKING DB 0112/FTFVA/WS95271</t>
        </is>
      </c>
      <c r="C6" t="n">
        <v>20000000</v>
      </c>
      <c r="D6" t="n">
        <v>0</v>
      </c>
      <c r="E6">
        <f>IFERROR(LOOKUP(2^15,SEARCH(RULE_KATEGORI!$A$2:$A$100,B6),RULE_KATEGORI!$B$2:$B$100),"OPERASIONAL")</f>
        <v/>
      </c>
      <c r="G6" t="inlineStr">
        <is>
          <t>12</t>
        </is>
      </c>
      <c r="H6" t="inlineStr">
        <is>
          <t>2025</t>
        </is>
      </c>
    </row>
    <row r="7">
      <c r="A7" t="inlineStr">
        <is>
          <t>01/12</t>
        </is>
      </c>
      <c r="B7" t="inlineStr">
        <is>
          <t>TRANSAKSI DEBIT TGL: 01/12</t>
        </is>
      </c>
      <c r="C7" t="n">
        <v>35000000</v>
      </c>
      <c r="D7" t="n">
        <v>0</v>
      </c>
      <c r="E7">
        <f>IFERROR(LOOKUP(2^15,SEARCH(RULE_KATEGORI!$A$2:$A$100,B7),RULE_KATEGORI!$B$2:$B$100),"OPERASIONAL")</f>
        <v/>
      </c>
      <c r="G7" t="inlineStr">
        <is>
          <t>12</t>
        </is>
      </c>
      <c r="H7" t="inlineStr">
        <is>
          <t>2025</t>
        </is>
      </c>
    </row>
    <row r="8">
      <c r="A8" t="inlineStr">
        <is>
          <t>01/12</t>
        </is>
      </c>
      <c r="B8" t="inlineStr">
        <is>
          <t>TRSF E-BANKING DB 0112/FTSCY/WS95271</t>
        </is>
      </c>
      <c r="C8" t="n">
        <v>30000000</v>
      </c>
      <c r="D8" t="n">
        <v>0</v>
      </c>
      <c r="E8">
        <f>IFERROR(LOOKUP(2^15,SEARCH(RULE_KATEGORI!$A$2:$A$100,B8),RULE_KATEGORI!$B$2:$B$100),"OPERASIONAL")</f>
        <v/>
      </c>
      <c r="G8" t="inlineStr">
        <is>
          <t>12</t>
        </is>
      </c>
      <c r="H8" t="inlineStr">
        <is>
          <t>2025</t>
        </is>
      </c>
    </row>
    <row r="9">
      <c r="A9" t="inlineStr">
        <is>
          <t>01/12</t>
        </is>
      </c>
      <c r="B9" t="inlineStr">
        <is>
          <t>TRSF E-BANKING DB 0112/FTSCY/WS95271 300,000.00</t>
        </is>
      </c>
      <c r="C9" t="n">
        <v>0</v>
      </c>
      <c r="D9" t="n">
        <v>23529574</v>
      </c>
      <c r="E9">
        <f>IFERROR(LOOKUP(2^15,SEARCH(RULE_KATEGORI!$A$2:$A$100,B9),RULE_KATEGORI!$B$2:$B$100),"OPERASIONAL")</f>
        <v/>
      </c>
      <c r="G9" t="inlineStr">
        <is>
          <t>12</t>
        </is>
      </c>
      <c r="H9" t="inlineStr">
        <is>
          <t>2025</t>
        </is>
      </c>
    </row>
    <row r="10">
      <c r="A10" t="inlineStr">
        <is>
          <t>02/12</t>
        </is>
      </c>
      <c r="B10" t="inlineStr">
        <is>
          <t>BI-FAST CR BIF TRANSFER</t>
        </is>
      </c>
      <c r="C10" t="n">
        <v>0</v>
      </c>
      <c r="D10" t="n">
        <v>15000000</v>
      </c>
      <c r="E10">
        <f>IFERROR(LOOKUP(2^15,SEARCH(RULE_KATEGORI!$A$2:$A$100,B10),RULE_KATEGORI!$B$2:$B$100),"OPERASIONAL")</f>
        <v/>
      </c>
      <c r="G10" t="inlineStr">
        <is>
          <t>12</t>
        </is>
      </c>
      <c r="H10" t="inlineStr">
        <is>
          <t>2025</t>
        </is>
      </c>
    </row>
    <row r="11">
      <c r="A11" t="inlineStr">
        <is>
          <t>02/12</t>
        </is>
      </c>
      <c r="B11" t="inlineStr">
        <is>
          <t>BI-FAST CR BIF TRANSFER</t>
        </is>
      </c>
      <c r="C11" t="n">
        <v>0</v>
      </c>
      <c r="D11" t="n">
        <v>500000000</v>
      </c>
      <c r="E11">
        <f>IFERROR(LOOKUP(2^15,SEARCH(RULE_KATEGORI!$A$2:$A$100,B11),RULE_KATEGORI!$B$2:$B$100),"OPERASIONAL")</f>
        <v/>
      </c>
      <c r="G11" t="inlineStr">
        <is>
          <t>12</t>
        </is>
      </c>
      <c r="H11" t="inlineStr">
        <is>
          <t>2025</t>
        </is>
      </c>
    </row>
    <row r="12">
      <c r="A12" t="inlineStr">
        <is>
          <t>02/12</t>
        </is>
      </c>
      <c r="B12" t="inlineStr">
        <is>
          <t>TRSF E-BANKING DB 0212/FTFVA/WS95271 27,000.00</t>
        </is>
      </c>
      <c r="C12" t="n">
        <v>0</v>
      </c>
      <c r="D12" t="n">
        <v>535829574</v>
      </c>
      <c r="E12">
        <f>IFERROR(LOOKUP(2^15,SEARCH(RULE_KATEGORI!$A$2:$A$100,B12),RULE_KATEGORI!$B$2:$B$100),"OPERASIONAL")</f>
        <v/>
      </c>
      <c r="G12" t="inlineStr">
        <is>
          <t>12</t>
        </is>
      </c>
      <c r="H12" t="inlineStr">
        <is>
          <t>2025</t>
        </is>
      </c>
    </row>
    <row r="13">
      <c r="A13" t="inlineStr">
        <is>
          <t>71231/XL</t>
        </is>
      </c>
      <c r="B13" t="inlineStr">
        <is>
          <t>PULSA</t>
        </is>
      </c>
      <c r="C13" t="n">
        <v>0</v>
      </c>
      <c r="D13" t="n">
        <v>2</v>
      </c>
      <c r="E13">
        <f>IFERROR(LOOKUP(2^15,SEARCH(RULE_KATEGORI!$A$2:$A$100,B13),RULE_KATEGORI!$B$2:$B$100),"OPERASIONAL")</f>
        <v/>
      </c>
      <c r="G13" t="inlineStr">
        <is>
          <t>12</t>
        </is>
      </c>
      <c r="H13" t="inlineStr">
        <is>
          <t>2025</t>
        </is>
      </c>
    </row>
    <row r="14">
      <c r="A14" t="inlineStr">
        <is>
          <t>02/12</t>
        </is>
      </c>
      <c r="B14" t="inlineStr">
        <is>
          <t>TRANSAKSI DEBIT TGL: 02/12 50,000.00</t>
        </is>
      </c>
      <c r="C14" t="n">
        <v>0</v>
      </c>
      <c r="D14" t="n">
        <v>530829574</v>
      </c>
      <c r="E14">
        <f>IFERROR(LOOKUP(2^15,SEARCH(RULE_KATEGORI!$A$2:$A$100,B14),RULE_KATEGORI!$B$2:$B$100),"OPERASIONAL")</f>
        <v/>
      </c>
      <c r="G14" t="inlineStr">
        <is>
          <t>12</t>
        </is>
      </c>
      <c r="H14" t="inlineStr">
        <is>
          <t>2025</t>
        </is>
      </c>
    </row>
    <row r="15">
      <c r="A15" t="inlineStr">
        <is>
          <t>02/12</t>
        </is>
      </c>
      <c r="B15" t="inlineStr">
        <is>
          <t>TRANSAKSI DEBIT TGL: 02/12</t>
        </is>
      </c>
      <c r="C15" t="n">
        <v>3350000</v>
      </c>
      <c r="D15" t="n">
        <v>0</v>
      </c>
      <c r="E15">
        <f>IFERROR(LOOKUP(2^15,SEARCH(RULE_KATEGORI!$A$2:$A$100,B15),RULE_KATEGORI!$B$2:$B$100),"OPERASIONAL")</f>
        <v/>
      </c>
      <c r="G15" t="inlineStr">
        <is>
          <t>12</t>
        </is>
      </c>
      <c r="H15" t="inlineStr">
        <is>
          <t>2025</t>
        </is>
      </c>
    </row>
    <row r="16">
      <c r="A16" t="inlineStr">
        <is>
          <t>02/12</t>
        </is>
      </c>
      <c r="B16" t="inlineStr">
        <is>
          <t>TARIKAN ATM 02/12</t>
        </is>
      </c>
      <c r="C16" t="n">
        <v>15000000</v>
      </c>
      <c r="D16" t="n">
        <v>0</v>
      </c>
      <c r="E16">
        <f>IFERROR(LOOKUP(2^15,SEARCH(RULE_KATEGORI!$A$2:$A$100,B16),RULE_KATEGORI!$B$2:$B$100),"OPERASIONAL")</f>
        <v/>
      </c>
      <c r="G16" t="inlineStr">
        <is>
          <t>12</t>
        </is>
      </c>
      <c r="H16" t="inlineStr">
        <is>
          <t>2025</t>
        </is>
      </c>
    </row>
    <row r="17">
      <c r="A17" t="inlineStr">
        <is>
          <t>02/12</t>
        </is>
      </c>
      <c r="B17" t="inlineStr">
        <is>
          <t>TRANSAKSI DEBIT TGL: 02/12</t>
        </is>
      </c>
      <c r="C17" t="n">
        <v>7900000</v>
      </c>
      <c r="D17" t="n">
        <v>0</v>
      </c>
      <c r="E17">
        <f>IFERROR(LOOKUP(2^15,SEARCH(RULE_KATEGORI!$A$2:$A$100,B17),RULE_KATEGORI!$B$2:$B$100),"OPERASIONAL")</f>
        <v/>
      </c>
      <c r="G17" t="inlineStr">
        <is>
          <t>12</t>
        </is>
      </c>
      <c r="H17" t="inlineStr">
        <is>
          <t>2025</t>
        </is>
      </c>
    </row>
    <row r="18">
      <c r="A18" t="inlineStr">
        <is>
          <t>02/12</t>
        </is>
      </c>
      <c r="B18" t="inlineStr">
        <is>
          <t>TRSF E-BANKING DB 0212/FTSCY/WS95271</t>
        </is>
      </c>
      <c r="C18" t="n">
        <v>79200000</v>
      </c>
      <c r="D18" t="n">
        <v>0</v>
      </c>
      <c r="E18">
        <f>IFERROR(LOOKUP(2^15,SEARCH(RULE_KATEGORI!$A$2:$A$100,B18),RULE_KATEGORI!$B$2:$B$100),"OPERASIONAL")</f>
        <v/>
      </c>
      <c r="G18" t="inlineStr">
        <is>
          <t>12</t>
        </is>
      </c>
      <c r="H18" t="inlineStr">
        <is>
          <t>2025</t>
        </is>
      </c>
    </row>
    <row r="19">
      <c r="A19" t="inlineStr">
        <is>
          <t>02/12</t>
        </is>
      </c>
      <c r="B19" t="inlineStr">
        <is>
          <t>TRSF E-BANKING DB 0212/FTSCY/WS95271 250,000.00</t>
        </is>
      </c>
      <c r="C19" t="n">
        <v>0</v>
      </c>
      <c r="D19" t="n">
        <v>400379574</v>
      </c>
      <c r="E19">
        <f>IFERROR(LOOKUP(2^15,SEARCH(RULE_KATEGORI!$A$2:$A$100,B19),RULE_KATEGORI!$B$2:$B$100),"OPERASIONAL")</f>
        <v/>
      </c>
      <c r="G19" t="inlineStr">
        <is>
          <t>12</t>
        </is>
      </c>
      <c r="H19" t="inlineStr">
        <is>
          <t>2025</t>
        </is>
      </c>
    </row>
    <row r="20">
      <c r="A20" t="inlineStr">
        <is>
          <t>03/12</t>
        </is>
      </c>
      <c r="B20" t="inlineStr">
        <is>
          <t>TRSF E-BANKING DB 0212/FTSCY/WS95271</t>
        </is>
      </c>
      <c r="C20" t="n">
        <v>181600000</v>
      </c>
      <c r="D20" t="n">
        <v>0</v>
      </c>
      <c r="E20">
        <f>IFERROR(LOOKUP(2^15,SEARCH(RULE_KATEGORI!$A$2:$A$100,B20),RULE_KATEGORI!$B$2:$B$100),"OPERASIONAL")</f>
        <v/>
      </c>
      <c r="G20" t="inlineStr">
        <is>
          <t>12</t>
        </is>
      </c>
      <c r="H20" t="inlineStr">
        <is>
          <t>2025</t>
        </is>
      </c>
    </row>
    <row r="21">
      <c r="A21" t="inlineStr">
        <is>
          <t>03/12</t>
        </is>
      </c>
      <c r="B21" t="inlineStr">
        <is>
          <t>TRANSAKSI DEBIT TGL: 03/12</t>
        </is>
      </c>
      <c r="C21" t="n">
        <v>3380000</v>
      </c>
      <c r="D21" t="n">
        <v>0</v>
      </c>
      <c r="E21">
        <f>IFERROR(LOOKUP(2^15,SEARCH(RULE_KATEGORI!$A$2:$A$100,B21),RULE_KATEGORI!$B$2:$B$100),"OPERASIONAL")</f>
        <v/>
      </c>
      <c r="G21" t="inlineStr">
        <is>
          <t>12</t>
        </is>
      </c>
      <c r="H21" t="inlineStr">
        <is>
          <t>2025</t>
        </is>
      </c>
    </row>
    <row r="22">
      <c r="A22" t="inlineStr">
        <is>
          <t>03/12</t>
        </is>
      </c>
      <c r="B22" t="inlineStr">
        <is>
          <t>BI-FAST DB BIF TRANSFER KE</t>
        </is>
      </c>
      <c r="C22" t="n">
        <v>200000000</v>
      </c>
      <c r="D22" t="n">
        <v>0</v>
      </c>
      <c r="E22">
        <f>IFERROR(LOOKUP(2^15,SEARCH(RULE_KATEGORI!$A$2:$A$100,B22),RULE_KATEGORI!$B$2:$B$100),"OPERASIONAL")</f>
        <v/>
      </c>
      <c r="G22" t="inlineStr">
        <is>
          <t>12</t>
        </is>
      </c>
      <c r="H22" t="inlineStr">
        <is>
          <t>2025</t>
        </is>
      </c>
    </row>
    <row r="23">
      <c r="A23" t="inlineStr">
        <is>
          <t>03/12</t>
        </is>
      </c>
      <c r="B23" t="inlineStr">
        <is>
          <t>BI-FAST DB BIF BIAYA TXN KE</t>
        </is>
      </c>
      <c r="C23" t="n">
        <v>250000</v>
      </c>
      <c r="D23" t="n">
        <v>0</v>
      </c>
      <c r="E23">
        <f>IFERROR(LOOKUP(2^15,SEARCH(RULE_KATEGORI!$A$2:$A$100,B23),RULE_KATEGORI!$B$2:$B$100),"OPERASIONAL")</f>
        <v/>
      </c>
      <c r="G23" t="inlineStr">
        <is>
          <t>12</t>
        </is>
      </c>
      <c r="H23" t="inlineStr">
        <is>
          <t>2025</t>
        </is>
      </c>
    </row>
    <row r="24">
      <c r="A24" t="inlineStr">
        <is>
          <t>03/12</t>
        </is>
      </c>
      <c r="B24" t="inlineStr">
        <is>
          <t>TRANSAKSI DEBIT TGL: 03/12 26,000.00</t>
        </is>
      </c>
      <c r="C24" t="n">
        <v>0</v>
      </c>
      <c r="D24" t="n">
        <v>12549574</v>
      </c>
      <c r="E24">
        <f>IFERROR(LOOKUP(2^15,SEARCH(RULE_KATEGORI!$A$2:$A$100,B24),RULE_KATEGORI!$B$2:$B$100),"OPERASIONAL")</f>
        <v/>
      </c>
      <c r="G24" t="inlineStr">
        <is>
          <t>12</t>
        </is>
      </c>
      <c r="H24" t="inlineStr">
        <is>
          <t>2025</t>
        </is>
      </c>
    </row>
    <row r="25">
      <c r="A25" t="inlineStr">
        <is>
          <t>04/12</t>
        </is>
      </c>
      <c r="B25" t="inlineStr">
        <is>
          <t>TRANSAKSI DEBIT TGL: 04/12 62,000.00</t>
        </is>
      </c>
      <c r="C25" t="n">
        <v>0</v>
      </c>
      <c r="D25" t="n">
        <v>6349574</v>
      </c>
      <c r="E25">
        <f>IFERROR(LOOKUP(2^15,SEARCH(RULE_KATEGORI!$A$2:$A$100,B25),RULE_KATEGORI!$B$2:$B$100),"OPERASIONAL")</f>
        <v/>
      </c>
      <c r="G25" t="inlineStr">
        <is>
          <t>12</t>
        </is>
      </c>
      <c r="H25" t="inlineStr">
        <is>
          <t>2025</t>
        </is>
      </c>
    </row>
    <row r="26">
      <c r="A26" t="inlineStr">
        <is>
          <t>06/12</t>
        </is>
      </c>
      <c r="B26" t="inlineStr">
        <is>
          <t>TRANSAKSI DEBIT TGL: 06/12 10,000.00</t>
        </is>
      </c>
      <c r="C26" t="n">
        <v>0</v>
      </c>
      <c r="D26" t="n">
        <v>5349574</v>
      </c>
      <c r="E26">
        <f>IFERROR(LOOKUP(2^15,SEARCH(RULE_KATEGORI!$A$2:$A$100,B26),RULE_KATEGORI!$B$2:$B$100),"OPERASIONAL")</f>
        <v/>
      </c>
      <c r="G26" t="inlineStr">
        <is>
          <t>12</t>
        </is>
      </c>
      <c r="H26" t="inlineStr">
        <is>
          <t>2025</t>
        </is>
      </c>
    </row>
    <row r="27">
      <c r="A27" t="inlineStr">
        <is>
          <t>07/12</t>
        </is>
      </c>
      <c r="B27" t="inlineStr">
        <is>
          <t>SWITCHING CR DR</t>
        </is>
      </c>
      <c r="C27" t="inlineStr">
        <is>
          <t>451</t>
        </is>
      </c>
      <c r="D27" t="inlineStr">
        <is>
          <t>50000000</t>
        </is>
      </c>
      <c r="E27">
        <f>IFERROR(LOOKUP(2^15,SEARCH(RULE_KATEGORI!$A$2:$A$100,B27),RULE_KATEGORI!$B$2:$B$100),"OPERASIONAL")</f>
        <v/>
      </c>
      <c r="G27" t="inlineStr">
        <is>
          <t>12</t>
        </is>
      </c>
      <c r="H27" t="inlineStr">
        <is>
          <t>2025</t>
        </is>
      </c>
    </row>
    <row r="28">
      <c r="A28" t="inlineStr">
        <is>
          <t>07/12</t>
        </is>
      </c>
      <c r="B28" t="inlineStr">
        <is>
          <t>BI-FAST DB BIF TRANSFER KE</t>
        </is>
      </c>
      <c r="C28" t="n">
        <v>10000000</v>
      </c>
      <c r="D28" t="n">
        <v>0</v>
      </c>
      <c r="E28">
        <f>IFERROR(LOOKUP(2^15,SEARCH(RULE_KATEGORI!$A$2:$A$100,B28),RULE_KATEGORI!$B$2:$B$100),"OPERASIONAL")</f>
        <v/>
      </c>
      <c r="G28" t="inlineStr">
        <is>
          <t>12</t>
        </is>
      </c>
      <c r="H28" t="inlineStr">
        <is>
          <t>2025</t>
        </is>
      </c>
    </row>
    <row r="29">
      <c r="A29" t="inlineStr">
        <is>
          <t>07/12</t>
        </is>
      </c>
      <c r="B29" t="inlineStr">
        <is>
          <t>BI-FAST DB BIF BIAYA TXN KE</t>
        </is>
      </c>
      <c r="C29" t="n">
        <v>250000</v>
      </c>
      <c r="D29" t="n">
        <v>0</v>
      </c>
      <c r="E29">
        <f>IFERROR(LOOKUP(2^15,SEARCH(RULE_KATEGORI!$A$2:$A$100,B29),RULE_KATEGORI!$B$2:$B$100),"OPERASIONAL")</f>
        <v/>
      </c>
      <c r="G29" t="inlineStr">
        <is>
          <t>12</t>
        </is>
      </c>
      <c r="H29" t="inlineStr">
        <is>
          <t>2025</t>
        </is>
      </c>
    </row>
    <row r="30">
      <c r="A30" t="inlineStr">
        <is>
          <t>07/12</t>
        </is>
      </c>
      <c r="B30" t="inlineStr">
        <is>
          <t>TRSF E-BANKING DB 0712/FTFVA/WS95271 51,000.00</t>
        </is>
      </c>
      <c r="C30" t="n">
        <v>0</v>
      </c>
      <c r="D30" t="n">
        <v>39999574</v>
      </c>
      <c r="E30">
        <f>IFERROR(LOOKUP(2^15,SEARCH(RULE_KATEGORI!$A$2:$A$100,B30),RULE_KATEGORI!$B$2:$B$100),"OPERASIONAL")</f>
        <v/>
      </c>
      <c r="G30" t="inlineStr">
        <is>
          <t>12</t>
        </is>
      </c>
      <c r="H30" t="inlineStr">
        <is>
          <t>2025</t>
        </is>
      </c>
    </row>
    <row r="31">
      <c r="A31" t="inlineStr">
        <is>
          <t>08/12</t>
        </is>
      </c>
      <c r="B31" t="inlineStr">
        <is>
          <t>BI-FAST DB BIF TRANSFER KE</t>
        </is>
      </c>
      <c r="C31" t="n">
        <v>10000000</v>
      </c>
      <c r="D31" t="n">
        <v>0</v>
      </c>
      <c r="E31">
        <f>IFERROR(LOOKUP(2^15,SEARCH(RULE_KATEGORI!$A$2:$A$100,B31),RULE_KATEGORI!$B$2:$B$100),"OPERASIONAL")</f>
        <v/>
      </c>
      <c r="G31" t="inlineStr">
        <is>
          <t>12</t>
        </is>
      </c>
      <c r="H31" t="inlineStr">
        <is>
          <t>2025</t>
        </is>
      </c>
    </row>
    <row r="32">
      <c r="A32" t="inlineStr">
        <is>
          <t>08/12</t>
        </is>
      </c>
      <c r="B32" t="inlineStr">
        <is>
          <t>BI-FAST DB BIF BIAYA TXN KE</t>
        </is>
      </c>
      <c r="C32" t="n">
        <v>250000</v>
      </c>
      <c r="D32" t="n">
        <v>0</v>
      </c>
      <c r="E32">
        <f>IFERROR(LOOKUP(2^15,SEARCH(RULE_KATEGORI!$A$2:$A$100,B32),RULE_KATEGORI!$B$2:$B$100),"OPERASIONAL")</f>
        <v/>
      </c>
      <c r="G32" t="inlineStr">
        <is>
          <t>12</t>
        </is>
      </c>
      <c r="H32" t="inlineStr">
        <is>
          <t>2025</t>
        </is>
      </c>
    </row>
    <row r="33">
      <c r="A33" t="inlineStr">
        <is>
          <t>08/12</t>
        </is>
      </c>
      <c r="B33" t="inlineStr">
        <is>
          <t>TRANSAKSI DEBIT TGL: 08/12 45,000.00</t>
        </is>
      </c>
      <c r="C33" t="n">
        <v>0</v>
      </c>
      <c r="D33" t="n">
        <v>25249574</v>
      </c>
      <c r="E33">
        <f>IFERROR(LOOKUP(2^15,SEARCH(RULE_KATEGORI!$A$2:$A$100,B33),RULE_KATEGORI!$B$2:$B$100),"OPERASIONAL")</f>
        <v/>
      </c>
      <c r="G33" t="inlineStr">
        <is>
          <t>12</t>
        </is>
      </c>
      <c r="H33" t="inlineStr">
        <is>
          <t>2025</t>
        </is>
      </c>
    </row>
    <row r="34">
      <c r="A34" t="inlineStr">
        <is>
          <t>09/12</t>
        </is>
      </c>
      <c r="B34" t="inlineStr">
        <is>
          <t>TRSF E-BANKING DB 0812/FTFVA/WS95271 55,000.00</t>
        </is>
      </c>
      <c r="C34" t="n">
        <v>0</v>
      </c>
      <c r="D34" t="n">
        <v>19749574</v>
      </c>
      <c r="E34">
        <f>IFERROR(LOOKUP(2^15,SEARCH(RULE_KATEGORI!$A$2:$A$100,B34),RULE_KATEGORI!$B$2:$B$100),"OPERASIONAL")</f>
        <v/>
      </c>
      <c r="G34" t="inlineStr">
        <is>
          <t>12</t>
        </is>
      </c>
      <c r="H34" t="inlineStr">
        <is>
          <t>2025</t>
        </is>
      </c>
    </row>
    <row r="35">
      <c r="A35" t="inlineStr">
        <is>
          <t>09/12</t>
        </is>
      </c>
      <c r="B35" t="inlineStr">
        <is>
          <t>TRSF E-BANKING DB 0912/FTSCY/WS95271 100,000.00</t>
        </is>
      </c>
      <c r="C35" t="n">
        <v>0</v>
      </c>
      <c r="D35" t="n">
        <v>9749574</v>
      </c>
      <c r="E35">
        <f>IFERROR(LOOKUP(2^15,SEARCH(RULE_KATEGORI!$A$2:$A$100,B35),RULE_KATEGORI!$B$2:$B$100),"OPERASIONAL")</f>
        <v/>
      </c>
      <c r="G35" t="inlineStr">
        <is>
          <t>12</t>
        </is>
      </c>
      <c r="H35" t="inlineStr">
        <is>
          <t>2025</t>
        </is>
      </c>
    </row>
    <row r="36">
      <c r="A36" t="inlineStr">
        <is>
          <t>09/12</t>
        </is>
      </c>
      <c r="B36" t="inlineStr">
        <is>
          <t>TRSF E-BANKING CR</t>
        </is>
      </c>
      <c r="C36" t="n">
        <v>0</v>
      </c>
      <c r="D36" t="n">
        <v>5000000</v>
      </c>
      <c r="E36">
        <f>IFERROR(LOOKUP(2^15,SEARCH(RULE_KATEGORI!$A$2:$A$100,B36),RULE_KATEGORI!$B$2:$B$100),"OPERASIONAL")</f>
        <v/>
      </c>
      <c r="G36" t="inlineStr">
        <is>
          <t>12</t>
        </is>
      </c>
      <c r="H36" t="inlineStr">
        <is>
          <t>2025</t>
        </is>
      </c>
    </row>
    <row r="37">
      <c r="A37" t="inlineStr">
        <is>
          <t>09/12</t>
        </is>
      </c>
      <c r="B37" t="inlineStr">
        <is>
          <t>TRANSAKSI DEBIT TGL: 09/12</t>
        </is>
      </c>
      <c r="C37" t="n">
        <v>1930000</v>
      </c>
      <c r="D37" t="n">
        <v>0</v>
      </c>
      <c r="E37">
        <f>IFERROR(LOOKUP(2^15,SEARCH(RULE_KATEGORI!$A$2:$A$100,B37),RULE_KATEGORI!$B$2:$B$100),"OPERASIONAL")</f>
        <v/>
      </c>
      <c r="G37" t="inlineStr">
        <is>
          <t>12</t>
        </is>
      </c>
      <c r="H37" t="inlineStr">
        <is>
          <t>2025</t>
        </is>
      </c>
    </row>
    <row r="38">
      <c r="A38" t="inlineStr">
        <is>
          <t>09/12</t>
        </is>
      </c>
      <c r="B38" t="inlineStr">
        <is>
          <t>BYR VIA E-BANKING 09/12 WSID9527100</t>
        </is>
      </c>
      <c r="C38" t="n">
        <v>5300000</v>
      </c>
      <c r="D38" t="n">
        <v>0</v>
      </c>
      <c r="E38">
        <f>IFERROR(LOOKUP(2^15,SEARCH(RULE_KATEGORI!$A$2:$A$100,B38),RULE_KATEGORI!$B$2:$B$100),"OPERASIONAL")</f>
        <v/>
      </c>
      <c r="G38" t="inlineStr">
        <is>
          <t>12</t>
        </is>
      </c>
      <c r="H38" t="inlineStr">
        <is>
          <t>2025</t>
        </is>
      </c>
    </row>
    <row r="39">
      <c r="A39" t="inlineStr">
        <is>
          <t>09/12</t>
        </is>
      </c>
      <c r="B39" t="inlineStr">
        <is>
          <t>SWITCHING CR DR</t>
        </is>
      </c>
      <c r="C39" t="inlineStr">
        <is>
          <t>451</t>
        </is>
      </c>
      <c r="D39" t="inlineStr">
        <is>
          <t>50000000</t>
        </is>
      </c>
      <c r="E39">
        <f>IFERROR(LOOKUP(2^15,SEARCH(RULE_KATEGORI!$A$2:$A$100,B39),RULE_KATEGORI!$B$2:$B$100),"OPERASIONAL")</f>
        <v/>
      </c>
      <c r="G39" t="inlineStr">
        <is>
          <t>12</t>
        </is>
      </c>
      <c r="H39" t="inlineStr">
        <is>
          <t>2025</t>
        </is>
      </c>
    </row>
    <row r="40">
      <c r="A40" t="inlineStr">
        <is>
          <t>09/12</t>
        </is>
      </c>
      <c r="B40" t="inlineStr">
        <is>
          <t>TRANSAKSI DEBIT TGL: 09/12</t>
        </is>
      </c>
      <c r="C40" t="n">
        <v>1380000</v>
      </c>
      <c r="D40" t="n">
        <v>0</v>
      </c>
      <c r="E40">
        <f>IFERROR(LOOKUP(2^15,SEARCH(RULE_KATEGORI!$A$2:$A$100,B40),RULE_KATEGORI!$B$2:$B$100),"OPERASIONAL")</f>
        <v/>
      </c>
      <c r="G40" t="inlineStr">
        <is>
          <t>12</t>
        </is>
      </c>
      <c r="H40" t="inlineStr">
        <is>
          <t>2025</t>
        </is>
      </c>
    </row>
    <row r="41">
      <c r="A41" t="inlineStr">
        <is>
          <t>09/12</t>
        </is>
      </c>
      <c r="B41" t="inlineStr">
        <is>
          <t>TRANSAKSI DEBIT TGL: 09/12 264,000.00</t>
        </is>
      </c>
      <c r="C41" t="n">
        <v>0</v>
      </c>
      <c r="D41" t="n">
        <v>29739574</v>
      </c>
      <c r="E41">
        <f>IFERROR(LOOKUP(2^15,SEARCH(RULE_KATEGORI!$A$2:$A$100,B41),RULE_KATEGORI!$B$2:$B$100),"OPERASIONAL")</f>
        <v/>
      </c>
      <c r="G41" t="inlineStr">
        <is>
          <t>12</t>
        </is>
      </c>
      <c r="H41" t="inlineStr">
        <is>
          <t>2025</t>
        </is>
      </c>
    </row>
    <row r="42">
      <c r="A42" t="inlineStr">
        <is>
          <t>10/12</t>
        </is>
      </c>
      <c r="B42" t="inlineStr">
        <is>
          <t>BI-FAST CR BIF TRANSFER</t>
        </is>
      </c>
      <c r="C42" t="n">
        <v>0</v>
      </c>
      <c r="D42" t="n">
        <v>1960000000</v>
      </c>
      <c r="E42">
        <f>IFERROR(LOOKUP(2^15,SEARCH(RULE_KATEGORI!$A$2:$A$100,B42),RULE_KATEGORI!$B$2:$B$100),"OPERASIONAL")</f>
        <v/>
      </c>
      <c r="G42" t="inlineStr">
        <is>
          <t>12</t>
        </is>
      </c>
      <c r="H42" t="inlineStr">
        <is>
          <t>2025</t>
        </is>
      </c>
    </row>
    <row r="43">
      <c r="A43" t="inlineStr">
        <is>
          <t>10/12</t>
        </is>
      </c>
      <c r="B43" t="inlineStr">
        <is>
          <t>TRSF E-BANKING DB 1012/FTFVA/WS95271</t>
        </is>
      </c>
      <c r="C43" t="n">
        <v>25174500</v>
      </c>
      <c r="D43" t="n">
        <v>0</v>
      </c>
      <c r="E43">
        <f>IFERROR(LOOKUP(2^15,SEARCH(RULE_KATEGORI!$A$2:$A$100,B43),RULE_KATEGORI!$B$2:$B$100),"OPERASIONAL")</f>
        <v/>
      </c>
      <c r="G43" t="inlineStr">
        <is>
          <t>12</t>
        </is>
      </c>
      <c r="H43" t="inlineStr">
        <is>
          <t>2025</t>
        </is>
      </c>
    </row>
    <row r="44">
      <c r="A44" t="inlineStr">
        <is>
          <t>10/12</t>
        </is>
      </c>
      <c r="B44" t="inlineStr">
        <is>
          <t>BYR VIA E-BANKING 10/12 WSID9527100</t>
        </is>
      </c>
      <c r="C44" t="n">
        <v>10300000</v>
      </c>
      <c r="D44" t="n">
        <v>0</v>
      </c>
      <c r="E44">
        <f>IFERROR(LOOKUP(2^15,SEARCH(RULE_KATEGORI!$A$2:$A$100,B44),RULE_KATEGORI!$B$2:$B$100),"OPERASIONAL")</f>
        <v/>
      </c>
      <c r="G44" t="inlineStr">
        <is>
          <t>12</t>
        </is>
      </c>
      <c r="H44" t="inlineStr">
        <is>
          <t>2025</t>
        </is>
      </c>
    </row>
    <row r="45">
      <c r="A45" t="inlineStr">
        <is>
          <t>10/12</t>
        </is>
      </c>
      <c r="B45" t="inlineStr">
        <is>
          <t>TRSF E-BANKING DB 1012/FTFVA/WS95271 1,276,500.00</t>
        </is>
      </c>
      <c r="C45" t="n">
        <v>0</v>
      </c>
      <c r="D45" t="n">
        <v>1826615074</v>
      </c>
      <c r="E45">
        <f>IFERROR(LOOKUP(2^15,SEARCH(RULE_KATEGORI!$A$2:$A$100,B45),RULE_KATEGORI!$B$2:$B$100),"OPERASIONAL")</f>
        <v/>
      </c>
      <c r="G45" t="inlineStr">
        <is>
          <t>12</t>
        </is>
      </c>
      <c r="H45" t="inlineStr">
        <is>
          <t>2025</t>
        </is>
      </c>
    </row>
    <row r="46">
      <c r="A46" t="inlineStr">
        <is>
          <t>10/12</t>
        </is>
      </c>
      <c r="B46" t="inlineStr">
        <is>
          <t>TRSF E-BANKING DB 1012/FTSCY/WS95271 1,267,000.00</t>
        </is>
      </c>
      <c r="C46" t="n">
        <v>0</v>
      </c>
      <c r="D46" t="n">
        <v>1699915074</v>
      </c>
      <c r="E46">
        <f>IFERROR(LOOKUP(2^15,SEARCH(RULE_KATEGORI!$A$2:$A$100,B46),RULE_KATEGORI!$B$2:$B$100),"OPERASIONAL")</f>
        <v/>
      </c>
      <c r="G46" t="inlineStr">
        <is>
          <t>12</t>
        </is>
      </c>
      <c r="H46" t="inlineStr">
        <is>
          <t>2025</t>
        </is>
      </c>
    </row>
    <row r="47">
      <c r="A47" t="inlineStr">
        <is>
          <t>10/12</t>
        </is>
      </c>
      <c r="B47" t="inlineStr">
        <is>
          <t>TRSF E-BANKING DB 1012/FTSCY/WS95271</t>
        </is>
      </c>
      <c r="C47" t="n">
        <v>10000000</v>
      </c>
      <c r="D47" t="n">
        <v>0</v>
      </c>
      <c r="E47">
        <f>IFERROR(LOOKUP(2^15,SEARCH(RULE_KATEGORI!$A$2:$A$100,B47),RULE_KATEGORI!$B$2:$B$100),"OPERASIONAL")</f>
        <v/>
      </c>
      <c r="G47" t="inlineStr">
        <is>
          <t>12</t>
        </is>
      </c>
      <c r="H47" t="inlineStr">
        <is>
          <t>2025</t>
        </is>
      </c>
    </row>
    <row r="48">
      <c r="A48" t="inlineStr">
        <is>
          <t>10/12</t>
        </is>
      </c>
      <c r="B48" t="inlineStr">
        <is>
          <t>SWITCHING CR DR</t>
        </is>
      </c>
      <c r="C48" t="inlineStr">
        <is>
          <t>008</t>
        </is>
      </c>
      <c r="D48" t="inlineStr">
        <is>
          <t>40000000</t>
        </is>
      </c>
      <c r="E48">
        <f>IFERROR(LOOKUP(2^15,SEARCH(RULE_KATEGORI!$A$2:$A$100,B48),RULE_KATEGORI!$B$2:$B$100),"OPERASIONAL")</f>
        <v/>
      </c>
      <c r="G48" t="inlineStr">
        <is>
          <t>12</t>
        </is>
      </c>
      <c r="H48" t="inlineStr">
        <is>
          <t>2025</t>
        </is>
      </c>
    </row>
    <row r="49">
      <c r="A49" t="inlineStr">
        <is>
          <t>10/12</t>
        </is>
      </c>
      <c r="B49" t="inlineStr">
        <is>
          <t>TRSF E-BANKING DB 1012/FTSCY/WS95271</t>
        </is>
      </c>
      <c r="C49" t="n">
        <v>50000000</v>
      </c>
      <c r="D49" t="n">
        <v>0</v>
      </c>
      <c r="E49">
        <f>IFERROR(LOOKUP(2^15,SEARCH(RULE_KATEGORI!$A$2:$A$100,B49),RULE_KATEGORI!$B$2:$B$100),"OPERASIONAL")</f>
        <v/>
      </c>
      <c r="G49" t="inlineStr">
        <is>
          <t>12</t>
        </is>
      </c>
      <c r="H49" t="inlineStr">
        <is>
          <t>2025</t>
        </is>
      </c>
    </row>
    <row r="50">
      <c r="A50" t="inlineStr">
        <is>
          <t>10/12</t>
        </is>
      </c>
      <c r="B50" t="inlineStr">
        <is>
          <t>BI-FAST DB BIF TRANSFER KE</t>
        </is>
      </c>
      <c r="C50" t="n">
        <v>50000000</v>
      </c>
      <c r="D50" t="n">
        <v>0</v>
      </c>
      <c r="E50">
        <f>IFERROR(LOOKUP(2^15,SEARCH(RULE_KATEGORI!$A$2:$A$100,B50),RULE_KATEGORI!$B$2:$B$100),"OPERASIONAL")</f>
        <v/>
      </c>
      <c r="G50" t="inlineStr">
        <is>
          <t>12</t>
        </is>
      </c>
      <c r="H50" t="inlineStr">
        <is>
          <t>2025</t>
        </is>
      </c>
    </row>
    <row r="51">
      <c r="A51" t="inlineStr">
        <is>
          <t>10/12</t>
        </is>
      </c>
      <c r="B51" t="inlineStr">
        <is>
          <t>BI-FAST DB BIF BIAYA TXN KE</t>
        </is>
      </c>
      <c r="C51" t="n">
        <v>250000</v>
      </c>
      <c r="D51" t="n">
        <v>0</v>
      </c>
      <c r="E51">
        <f>IFERROR(LOOKUP(2^15,SEARCH(RULE_KATEGORI!$A$2:$A$100,B51),RULE_KATEGORI!$B$2:$B$100),"OPERASIONAL")</f>
        <v/>
      </c>
      <c r="G51" t="inlineStr">
        <is>
          <t>12</t>
        </is>
      </c>
      <c r="H51" t="inlineStr">
        <is>
          <t>2025</t>
        </is>
      </c>
    </row>
    <row r="52">
      <c r="A52" t="inlineStr">
        <is>
          <t>10/12</t>
        </is>
      </c>
      <c r="B52" t="inlineStr">
        <is>
          <t>BI-FAST DB BIF TRANSFER KE</t>
        </is>
      </c>
      <c r="C52" t="n">
        <v>110000000</v>
      </c>
      <c r="D52" t="n">
        <v>0</v>
      </c>
      <c r="E52">
        <f>IFERROR(LOOKUP(2^15,SEARCH(RULE_KATEGORI!$A$2:$A$100,B52),RULE_KATEGORI!$B$2:$B$100),"OPERASIONAL")</f>
        <v/>
      </c>
      <c r="G52" t="inlineStr">
        <is>
          <t>12</t>
        </is>
      </c>
      <c r="H52" t="inlineStr">
        <is>
          <t>2025</t>
        </is>
      </c>
    </row>
    <row r="53">
      <c r="A53" t="inlineStr">
        <is>
          <t>10/12</t>
        </is>
      </c>
      <c r="B53" t="inlineStr">
        <is>
          <t>BI-FAST DB BIF BIAYA TXN KE 2,500.00</t>
        </is>
      </c>
      <c r="C53" t="n">
        <v>0</v>
      </c>
      <c r="D53" t="n">
        <v>1519415074</v>
      </c>
      <c r="E53">
        <f>IFERROR(LOOKUP(2^15,SEARCH(RULE_KATEGORI!$A$2:$A$100,B53),RULE_KATEGORI!$B$2:$B$100),"OPERASIONAL")</f>
        <v/>
      </c>
      <c r="G53" t="inlineStr">
        <is>
          <t>12</t>
        </is>
      </c>
      <c r="H53" t="inlineStr">
        <is>
          <t>2025</t>
        </is>
      </c>
    </row>
    <row r="54">
      <c r="A54" t="inlineStr">
        <is>
          <t>11/12</t>
        </is>
      </c>
      <c r="B54" t="inlineStr">
        <is>
          <t>TRSF E-BANKING DB 1112/FTFVA/WS95271</t>
        </is>
      </c>
      <c r="C54" t="n">
        <v>88026000</v>
      </c>
      <c r="D54" t="n">
        <v>0</v>
      </c>
      <c r="E54">
        <f>IFERROR(LOOKUP(2^15,SEARCH(RULE_KATEGORI!$A$2:$A$100,B54),RULE_KATEGORI!$B$2:$B$100),"OPERASIONAL")</f>
        <v/>
      </c>
      <c r="G54" t="inlineStr">
        <is>
          <t>12</t>
        </is>
      </c>
      <c r="H54" t="inlineStr">
        <is>
          <t>2025</t>
        </is>
      </c>
    </row>
    <row r="55">
      <c r="A55" t="inlineStr">
        <is>
          <t>11/12</t>
        </is>
      </c>
      <c r="B55" t="inlineStr">
        <is>
          <t>BI-FAST DB BIF TRANSFER KE 500,000.00</t>
        </is>
      </c>
      <c r="C55" t="n">
        <v>0</v>
      </c>
      <c r="D55" t="n">
        <v>1381389074</v>
      </c>
      <c r="E55">
        <f>IFERROR(LOOKUP(2^15,SEARCH(RULE_KATEGORI!$A$2:$A$100,B55),RULE_KATEGORI!$B$2:$B$100),"OPERASIONAL")</f>
        <v/>
      </c>
      <c r="G55" t="inlineStr">
        <is>
          <t>12</t>
        </is>
      </c>
      <c r="H55" t="inlineStr">
        <is>
          <t>2025</t>
        </is>
      </c>
    </row>
    <row r="56">
      <c r="A56" t="inlineStr">
        <is>
          <t>11/12</t>
        </is>
      </c>
      <c r="B56" t="inlineStr">
        <is>
          <t>BI-FAST DB BIF BIAYA TXN KE 2,500.00</t>
        </is>
      </c>
      <c r="C56" t="n">
        <v>0</v>
      </c>
      <c r="D56" t="n">
        <v>1381139074</v>
      </c>
      <c r="E56">
        <f>IFERROR(LOOKUP(2^15,SEARCH(RULE_KATEGORI!$A$2:$A$100,B56),RULE_KATEGORI!$B$2:$B$100),"OPERASIONAL")</f>
        <v/>
      </c>
      <c r="G56" t="inlineStr">
        <is>
          <t>12</t>
        </is>
      </c>
      <c r="H56" t="inlineStr">
        <is>
          <t>2025</t>
        </is>
      </c>
    </row>
    <row r="57">
      <c r="A57" t="inlineStr">
        <is>
          <t>11/12</t>
        </is>
      </c>
      <c r="B57" t="inlineStr">
        <is>
          <t>BI-FAST DB BIF TRANSFER KE</t>
        </is>
      </c>
      <c r="C57" t="n">
        <v>50000000</v>
      </c>
      <c r="D57" t="n">
        <v>0</v>
      </c>
      <c r="E57">
        <f>IFERROR(LOOKUP(2^15,SEARCH(RULE_KATEGORI!$A$2:$A$100,B57),RULE_KATEGORI!$B$2:$B$100),"OPERASIONAL")</f>
        <v/>
      </c>
      <c r="G57" t="inlineStr">
        <is>
          <t>12</t>
        </is>
      </c>
      <c r="H57" t="inlineStr">
        <is>
          <t>2025</t>
        </is>
      </c>
    </row>
    <row r="58">
      <c r="A58" t="inlineStr">
        <is>
          <t>11/12</t>
        </is>
      </c>
      <c r="B58" t="inlineStr">
        <is>
          <t>BI-FAST DB BIF BIAYA TXN KE</t>
        </is>
      </c>
      <c r="C58" t="n">
        <v>250000</v>
      </c>
      <c r="D58" t="n">
        <v>0</v>
      </c>
      <c r="E58">
        <f>IFERROR(LOOKUP(2^15,SEARCH(RULE_KATEGORI!$A$2:$A$100,B58),RULE_KATEGORI!$B$2:$B$100),"OPERASIONAL")</f>
        <v/>
      </c>
      <c r="G58" t="inlineStr">
        <is>
          <t>12</t>
        </is>
      </c>
      <c r="H58" t="inlineStr">
        <is>
          <t>2025</t>
        </is>
      </c>
    </row>
    <row r="59">
      <c r="A59" t="inlineStr">
        <is>
          <t>11/12</t>
        </is>
      </c>
      <c r="B59" t="inlineStr">
        <is>
          <t>TRSF E-BANKING DB 1112/FTSCY/WS95271</t>
        </is>
      </c>
      <c r="C59" t="n">
        <v>50000000</v>
      </c>
      <c r="D59" t="n">
        <v>0</v>
      </c>
      <c r="E59">
        <f>IFERROR(LOOKUP(2^15,SEARCH(RULE_KATEGORI!$A$2:$A$100,B59),RULE_KATEGORI!$B$2:$B$100),"OPERASIONAL")</f>
        <v/>
      </c>
      <c r="G59" t="inlineStr">
        <is>
          <t>12</t>
        </is>
      </c>
      <c r="H59" t="inlineStr">
        <is>
          <t>2025</t>
        </is>
      </c>
    </row>
    <row r="60">
      <c r="A60" t="inlineStr">
        <is>
          <t>11/12</t>
        </is>
      </c>
      <c r="B60" t="inlineStr">
        <is>
          <t>TRSF E-BANKING DB 1112/FTSCY/WS95271</t>
        </is>
      </c>
      <c r="C60" t="n">
        <v>60000000</v>
      </c>
      <c r="D60" t="n">
        <v>0</v>
      </c>
      <c r="E60">
        <f>IFERROR(LOOKUP(2^15,SEARCH(RULE_KATEGORI!$A$2:$A$100,B60),RULE_KATEGORI!$B$2:$B$100),"OPERASIONAL")</f>
        <v/>
      </c>
      <c r="G60" t="inlineStr">
        <is>
          <t>12</t>
        </is>
      </c>
      <c r="H60" t="inlineStr">
        <is>
          <t>2025</t>
        </is>
      </c>
    </row>
    <row r="61">
      <c r="A61" t="inlineStr">
        <is>
          <t>11/12</t>
        </is>
      </c>
      <c r="B61" t="inlineStr">
        <is>
          <t>TRSF E-BANKING DB 1112/FTFVA/WS95271</t>
        </is>
      </c>
      <c r="C61" t="n">
        <v>20630000</v>
      </c>
      <c r="D61" t="n">
        <v>0</v>
      </c>
      <c r="E61">
        <f>IFERROR(LOOKUP(2^15,SEARCH(RULE_KATEGORI!$A$2:$A$100,B61),RULE_KATEGORI!$B$2:$B$100),"OPERASIONAL")</f>
        <v/>
      </c>
      <c r="G61" t="inlineStr">
        <is>
          <t>12</t>
        </is>
      </c>
      <c r="H61" t="inlineStr">
        <is>
          <t>2025</t>
        </is>
      </c>
    </row>
    <row r="62">
      <c r="A62" t="inlineStr">
        <is>
          <t>11/12</t>
        </is>
      </c>
      <c r="B62" t="inlineStr">
        <is>
          <t>BI-FAST DB BIF TRANSFER KE</t>
        </is>
      </c>
      <c r="C62" t="n">
        <v>67200000</v>
      </c>
      <c r="D62" t="n">
        <v>0</v>
      </c>
      <c r="E62">
        <f>IFERROR(LOOKUP(2^15,SEARCH(RULE_KATEGORI!$A$2:$A$100,B62),RULE_KATEGORI!$B$2:$B$100),"OPERASIONAL")</f>
        <v/>
      </c>
      <c r="G62" t="inlineStr">
        <is>
          <t>12</t>
        </is>
      </c>
      <c r="H62" t="inlineStr">
        <is>
          <t>2025</t>
        </is>
      </c>
    </row>
    <row r="63">
      <c r="A63" t="inlineStr">
        <is>
          <t>11/12</t>
        </is>
      </c>
      <c r="B63" t="inlineStr">
        <is>
          <t>BI-FAST DB BIF BIAYA TXN KE 2,500.00</t>
        </is>
      </c>
      <c r="C63" t="n">
        <v>0</v>
      </c>
      <c r="D63" t="n">
        <v>1132809074</v>
      </c>
      <c r="E63">
        <f>IFERROR(LOOKUP(2^15,SEARCH(RULE_KATEGORI!$A$2:$A$100,B63),RULE_KATEGORI!$B$2:$B$100),"OPERASIONAL")</f>
        <v/>
      </c>
      <c r="G63" t="inlineStr">
        <is>
          <t>12</t>
        </is>
      </c>
      <c r="H63" t="inlineStr">
        <is>
          <t>2025</t>
        </is>
      </c>
    </row>
    <row r="64">
      <c r="A64" t="inlineStr">
        <is>
          <t>12/12</t>
        </is>
      </c>
      <c r="B64" t="inlineStr">
        <is>
          <t>BYR VIA E-BANKING 12/12 WSID9527100</t>
        </is>
      </c>
      <c r="C64" t="n">
        <v>5300000</v>
      </c>
      <c r="D64" t="n">
        <v>0</v>
      </c>
      <c r="E64">
        <f>IFERROR(LOOKUP(2^15,SEARCH(RULE_KATEGORI!$A$2:$A$100,B64),RULE_KATEGORI!$B$2:$B$100),"OPERASIONAL")</f>
        <v/>
      </c>
      <c r="G64" t="inlineStr">
        <is>
          <t>12</t>
        </is>
      </c>
      <c r="H64" t="inlineStr">
        <is>
          <t>2025</t>
        </is>
      </c>
    </row>
    <row r="65">
      <c r="A65" t="inlineStr">
        <is>
          <t>12/12</t>
        </is>
      </c>
      <c r="B65" t="inlineStr">
        <is>
          <t>TRANSAKSI DEBIT TGL: 12/12 42,900.00</t>
        </is>
      </c>
      <c r="C65" t="n">
        <v>0</v>
      </c>
      <c r="D65" t="n">
        <v>1123219074</v>
      </c>
      <c r="E65">
        <f>IFERROR(LOOKUP(2^15,SEARCH(RULE_KATEGORI!$A$2:$A$100,B65),RULE_KATEGORI!$B$2:$B$100),"OPERASIONAL")</f>
        <v/>
      </c>
      <c r="G65" t="inlineStr">
        <is>
          <t>12</t>
        </is>
      </c>
      <c r="H65" t="inlineStr">
        <is>
          <t>2025</t>
        </is>
      </c>
    </row>
    <row r="66">
      <c r="A66" t="inlineStr">
        <is>
          <t>12/12</t>
        </is>
      </c>
      <c r="B66" t="inlineStr">
        <is>
          <t>TRSF E-BANKING DB 1212/FTFVA/WS95271 200,000.00</t>
        </is>
      </c>
      <c r="C66" t="n">
        <v>0</v>
      </c>
      <c r="D66" t="n">
        <v>1103219074</v>
      </c>
      <c r="E66">
        <f>IFERROR(LOOKUP(2^15,SEARCH(RULE_KATEGORI!$A$2:$A$100,B66),RULE_KATEGORI!$B$2:$B$100),"OPERASIONAL")</f>
        <v/>
      </c>
      <c r="G66" t="inlineStr">
        <is>
          <t>12</t>
        </is>
      </c>
      <c r="H66" t="inlineStr">
        <is>
          <t>2025</t>
        </is>
      </c>
    </row>
    <row r="67">
      <c r="A67" t="inlineStr">
        <is>
          <t>12/12</t>
        </is>
      </c>
      <c r="B67" t="inlineStr">
        <is>
          <t>TRANSAKSI DEBIT TGL: 12/12</t>
        </is>
      </c>
      <c r="C67" t="n">
        <v>5600000</v>
      </c>
      <c r="D67" t="n">
        <v>0</v>
      </c>
      <c r="E67">
        <f>IFERROR(LOOKUP(2^15,SEARCH(RULE_KATEGORI!$A$2:$A$100,B67),RULE_KATEGORI!$B$2:$B$100),"OPERASIONAL")</f>
        <v/>
      </c>
      <c r="G67" t="inlineStr">
        <is>
          <t>12</t>
        </is>
      </c>
      <c r="H67" t="inlineStr">
        <is>
          <t>2025</t>
        </is>
      </c>
    </row>
    <row r="68">
      <c r="A68" t="inlineStr">
        <is>
          <t>12/12</t>
        </is>
      </c>
      <c r="B68" t="inlineStr">
        <is>
          <t>TRSF E-BANKING CR</t>
        </is>
      </c>
      <c r="C68" t="n">
        <v>0</v>
      </c>
      <c r="D68" t="n">
        <v>7500000</v>
      </c>
      <c r="E68">
        <f>IFERROR(LOOKUP(2^15,SEARCH(RULE_KATEGORI!$A$2:$A$100,B68),RULE_KATEGORI!$B$2:$B$100),"OPERASIONAL")</f>
        <v/>
      </c>
      <c r="G68" t="inlineStr">
        <is>
          <t>12</t>
        </is>
      </c>
      <c r="H68" t="inlineStr">
        <is>
          <t>2025</t>
        </is>
      </c>
    </row>
    <row r="69">
      <c r="A69" t="inlineStr">
        <is>
          <t>12/12</t>
        </is>
      </c>
      <c r="B69" t="inlineStr">
        <is>
          <t>TRANSAKSI DEBIT TGL: 12/12</t>
        </is>
      </c>
      <c r="C69" t="n">
        <v>400000</v>
      </c>
      <c r="D69" t="n">
        <v>0</v>
      </c>
      <c r="E69">
        <f>IFERROR(LOOKUP(2^15,SEARCH(RULE_KATEGORI!$A$2:$A$100,B69),RULE_KATEGORI!$B$2:$B$100),"OPERASIONAL")</f>
        <v/>
      </c>
      <c r="G69" t="inlineStr">
        <is>
          <t>12</t>
        </is>
      </c>
      <c r="H69" t="inlineStr">
        <is>
          <t>2025</t>
        </is>
      </c>
    </row>
    <row r="70">
      <c r="A70" t="inlineStr">
        <is>
          <t>12/12</t>
        </is>
      </c>
      <c r="B70" t="inlineStr">
        <is>
          <t>TRANSAKSI DEBIT TGL: 12/12</t>
        </is>
      </c>
      <c r="C70" t="n">
        <v>500000</v>
      </c>
      <c r="D70" t="n">
        <v>0</v>
      </c>
      <c r="E70">
        <f>IFERROR(LOOKUP(2^15,SEARCH(RULE_KATEGORI!$A$2:$A$100,B70),RULE_KATEGORI!$B$2:$B$100),"OPERASIONAL")</f>
        <v/>
      </c>
      <c r="G70" t="inlineStr">
        <is>
          <t>12</t>
        </is>
      </c>
      <c r="H70" t="inlineStr">
        <is>
          <t>2025</t>
        </is>
      </c>
    </row>
    <row r="71">
      <c r="A71" t="inlineStr">
        <is>
          <t>12/12</t>
        </is>
      </c>
      <c r="B71" t="inlineStr">
        <is>
          <t>TRSF E-BANKING DB 1212/FTSCY/WS95271</t>
        </is>
      </c>
      <c r="C71" t="n">
        <v>5000000</v>
      </c>
      <c r="D71" t="n">
        <v>0</v>
      </c>
      <c r="E71">
        <f>IFERROR(LOOKUP(2^15,SEARCH(RULE_KATEGORI!$A$2:$A$100,B71),RULE_KATEGORI!$B$2:$B$100),"OPERASIONAL")</f>
        <v/>
      </c>
      <c r="G71" t="inlineStr">
        <is>
          <t>12</t>
        </is>
      </c>
      <c r="H71" t="inlineStr">
        <is>
          <t>2025</t>
        </is>
      </c>
    </row>
    <row r="72">
      <c r="A72" t="inlineStr">
        <is>
          <t>12/12</t>
        </is>
      </c>
      <c r="B72" t="inlineStr">
        <is>
          <t>TRANSAKSI DEBIT TGL: 12/12</t>
        </is>
      </c>
      <c r="C72" t="n">
        <v>3600000</v>
      </c>
      <c r="D72" t="n">
        <v>0</v>
      </c>
      <c r="E72">
        <f>IFERROR(LOOKUP(2^15,SEARCH(RULE_KATEGORI!$A$2:$A$100,B72),RULE_KATEGORI!$B$2:$B$100),"OPERASIONAL")</f>
        <v/>
      </c>
      <c r="G72" t="inlineStr">
        <is>
          <t>12</t>
        </is>
      </c>
      <c r="H72" t="inlineStr">
        <is>
          <t>2025</t>
        </is>
      </c>
    </row>
    <row r="73">
      <c r="A73" t="inlineStr">
        <is>
          <t>12/12</t>
        </is>
      </c>
      <c r="B73" t="inlineStr">
        <is>
          <t>TRSF E-BANKING DB 1212/FTSCY/WS95271</t>
        </is>
      </c>
      <c r="C73" t="n">
        <v>8000000</v>
      </c>
      <c r="D73" t="n">
        <v>0</v>
      </c>
      <c r="E73">
        <f>IFERROR(LOOKUP(2^15,SEARCH(RULE_KATEGORI!$A$2:$A$100,B73),RULE_KATEGORI!$B$2:$B$100),"OPERASIONAL")</f>
        <v/>
      </c>
      <c r="G73" t="inlineStr">
        <is>
          <t>12</t>
        </is>
      </c>
      <c r="H73" t="inlineStr">
        <is>
          <t>2025</t>
        </is>
      </c>
    </row>
    <row r="74">
      <c r="A74" t="inlineStr">
        <is>
          <t>12/12</t>
        </is>
      </c>
      <c r="B74" t="inlineStr">
        <is>
          <t>TRANSAKSI DEBIT TGL: 12/12</t>
        </is>
      </c>
      <c r="C74" t="n">
        <v>23000000</v>
      </c>
      <c r="D74" t="n">
        <v>0</v>
      </c>
      <c r="E74">
        <f>IFERROR(LOOKUP(2^15,SEARCH(RULE_KATEGORI!$A$2:$A$100,B74),RULE_KATEGORI!$B$2:$B$100),"OPERASIONAL")</f>
        <v/>
      </c>
      <c r="G74" t="inlineStr">
        <is>
          <t>12</t>
        </is>
      </c>
      <c r="H74" t="inlineStr">
        <is>
          <t>2025</t>
        </is>
      </c>
    </row>
    <row r="75">
      <c r="A75" t="inlineStr">
        <is>
          <t>12/12</t>
        </is>
      </c>
      <c r="B75" t="inlineStr">
        <is>
          <t>TRANSAKSI DEBIT TGL: 12/12</t>
        </is>
      </c>
      <c r="C75" t="n">
        <v>5300000</v>
      </c>
      <c r="D75" t="n">
        <v>0</v>
      </c>
      <c r="E75">
        <f>IFERROR(LOOKUP(2^15,SEARCH(RULE_KATEGORI!$A$2:$A$100,B75),RULE_KATEGORI!$B$2:$B$100),"OPERASIONAL")</f>
        <v/>
      </c>
      <c r="G75" t="inlineStr">
        <is>
          <t>12</t>
        </is>
      </c>
      <c r="H75" t="inlineStr">
        <is>
          <t>2025</t>
        </is>
      </c>
    </row>
    <row r="76">
      <c r="A76" t="inlineStr">
        <is>
          <t>12/12</t>
        </is>
      </c>
      <c r="B76" t="inlineStr">
        <is>
          <t>TRANSAKSI DEBIT TGL: 12/12 144,700.00</t>
        </is>
      </c>
      <c r="C76" t="n">
        <v>0</v>
      </c>
      <c r="D76" t="n">
        <v>1044849074</v>
      </c>
      <c r="E76">
        <f>IFERROR(LOOKUP(2^15,SEARCH(RULE_KATEGORI!$A$2:$A$100,B76),RULE_KATEGORI!$B$2:$B$100),"OPERASIONAL")</f>
        <v/>
      </c>
      <c r="G76" t="inlineStr">
        <is>
          <t>12</t>
        </is>
      </c>
      <c r="H76" t="inlineStr">
        <is>
          <t>2025</t>
        </is>
      </c>
    </row>
    <row r="77">
      <c r="A77" t="inlineStr">
        <is>
          <t>13/12</t>
        </is>
      </c>
      <c r="B77" t="inlineStr">
        <is>
          <t>TRSF E-BANKING DB 1312/FTSCY/WS95271 70,000.00</t>
        </is>
      </c>
      <c r="C77" t="n">
        <v>0</v>
      </c>
      <c r="D77" t="n">
        <v>1037849074</v>
      </c>
      <c r="E77">
        <f>IFERROR(LOOKUP(2^15,SEARCH(RULE_KATEGORI!$A$2:$A$100,B77),RULE_KATEGORI!$B$2:$B$100),"OPERASIONAL")</f>
        <v/>
      </c>
      <c r="G77" t="inlineStr">
        <is>
          <t>12</t>
        </is>
      </c>
      <c r="H77" t="inlineStr">
        <is>
          <t>2025</t>
        </is>
      </c>
    </row>
    <row r="78">
      <c r="A78" t="inlineStr">
        <is>
          <t>13/12</t>
        </is>
      </c>
      <c r="B78" t="inlineStr">
        <is>
          <t>TRANSAKSI DEBIT TGL: 13/12</t>
        </is>
      </c>
      <c r="C78" t="n">
        <v>2500000</v>
      </c>
      <c r="D78" t="n">
        <v>0</v>
      </c>
      <c r="E78">
        <f>IFERROR(LOOKUP(2^15,SEARCH(RULE_KATEGORI!$A$2:$A$100,B78),RULE_KATEGORI!$B$2:$B$100),"OPERASIONAL")</f>
        <v/>
      </c>
      <c r="G78" t="inlineStr">
        <is>
          <t>12</t>
        </is>
      </c>
      <c r="H78" t="inlineStr">
        <is>
          <t>2025</t>
        </is>
      </c>
    </row>
    <row r="79">
      <c r="A79" t="inlineStr">
        <is>
          <t>13/12</t>
        </is>
      </c>
      <c r="B79" t="inlineStr">
        <is>
          <t>TRSF E-BANKING DB 1312/FTSCY/WS95271</t>
        </is>
      </c>
      <c r="C79" t="n">
        <v>8500000</v>
      </c>
      <c r="D79" t="n">
        <v>0</v>
      </c>
      <c r="E79">
        <f>IFERROR(LOOKUP(2^15,SEARCH(RULE_KATEGORI!$A$2:$A$100,B79),RULE_KATEGORI!$B$2:$B$100),"OPERASIONAL")</f>
        <v/>
      </c>
      <c r="G79" t="inlineStr">
        <is>
          <t>12</t>
        </is>
      </c>
      <c r="H79" t="inlineStr">
        <is>
          <t>2025</t>
        </is>
      </c>
    </row>
    <row r="80">
      <c r="A80" t="inlineStr">
        <is>
          <t>13/12</t>
        </is>
      </c>
      <c r="B80" t="inlineStr">
        <is>
          <t>TRSF E-BANKING DB 1312/FTSCY/WS95271</t>
        </is>
      </c>
      <c r="C80" t="n">
        <v>10000000</v>
      </c>
      <c r="D80" t="n">
        <v>0</v>
      </c>
      <c r="E80">
        <f>IFERROR(LOOKUP(2^15,SEARCH(RULE_KATEGORI!$A$2:$A$100,B80),RULE_KATEGORI!$B$2:$B$100),"OPERASIONAL")</f>
        <v/>
      </c>
      <c r="G80" t="inlineStr">
        <is>
          <t>12</t>
        </is>
      </c>
      <c r="H80" t="inlineStr">
        <is>
          <t>2025</t>
        </is>
      </c>
    </row>
    <row r="81">
      <c r="A81" t="inlineStr">
        <is>
          <t>13/12</t>
        </is>
      </c>
      <c r="B81" t="inlineStr">
        <is>
          <t>TRSF E-BANKING DB 1312/FTSCY/WS95271</t>
        </is>
      </c>
      <c r="C81" t="n">
        <v>22350000</v>
      </c>
      <c r="D81" t="n">
        <v>0</v>
      </c>
      <c r="E81">
        <f>IFERROR(LOOKUP(2^15,SEARCH(RULE_KATEGORI!$A$2:$A$100,B81),RULE_KATEGORI!$B$2:$B$100),"OPERASIONAL")</f>
        <v/>
      </c>
      <c r="G81" t="inlineStr">
        <is>
          <t>12</t>
        </is>
      </c>
      <c r="H81" t="inlineStr">
        <is>
          <t>2025</t>
        </is>
      </c>
    </row>
    <row r="82">
      <c r="A82" t="inlineStr">
        <is>
          <t>13/12</t>
        </is>
      </c>
      <c r="B82" t="inlineStr">
        <is>
          <t>TARIKAN ATM 13/12</t>
        </is>
      </c>
      <c r="C82" t="n">
        <v>15000000</v>
      </c>
      <c r="D82" t="n">
        <v>0</v>
      </c>
      <c r="E82">
        <f>IFERROR(LOOKUP(2^15,SEARCH(RULE_KATEGORI!$A$2:$A$100,B82),RULE_KATEGORI!$B$2:$B$100),"OPERASIONAL")</f>
        <v/>
      </c>
      <c r="G82" t="inlineStr">
        <is>
          <t>12</t>
        </is>
      </c>
      <c r="H82" t="inlineStr">
        <is>
          <t>2025</t>
        </is>
      </c>
    </row>
    <row r="83">
      <c r="A83" t="inlineStr">
        <is>
          <t>13/12</t>
        </is>
      </c>
      <c r="B83" t="inlineStr">
        <is>
          <t>TRANSAKSI DEBIT TGL: 13/12</t>
        </is>
      </c>
      <c r="C83" t="n">
        <v>1970000</v>
      </c>
      <c r="D83" t="n">
        <v>0</v>
      </c>
      <c r="E83">
        <f>IFERROR(LOOKUP(2^15,SEARCH(RULE_KATEGORI!$A$2:$A$100,B83),RULE_KATEGORI!$B$2:$B$100),"OPERASIONAL")</f>
        <v/>
      </c>
      <c r="G83" t="inlineStr">
        <is>
          <t>12</t>
        </is>
      </c>
      <c r="H83" t="inlineStr">
        <is>
          <t>2025</t>
        </is>
      </c>
    </row>
    <row r="84">
      <c r="A84" t="inlineStr">
        <is>
          <t>13/12</t>
        </is>
      </c>
      <c r="B84" t="inlineStr">
        <is>
          <t>BI-FAST DB BIF TRANSFER KE</t>
        </is>
      </c>
      <c r="C84" t="n">
        <v>7200000</v>
      </c>
      <c r="D84" t="n">
        <v>0</v>
      </c>
      <c r="E84">
        <f>IFERROR(LOOKUP(2^15,SEARCH(RULE_KATEGORI!$A$2:$A$100,B84),RULE_KATEGORI!$B$2:$B$100),"OPERASIONAL")</f>
        <v/>
      </c>
      <c r="G84" t="inlineStr">
        <is>
          <t>12</t>
        </is>
      </c>
      <c r="H84" t="inlineStr">
        <is>
          <t>2025</t>
        </is>
      </c>
    </row>
    <row r="85">
      <c r="A85" t="inlineStr">
        <is>
          <t>13/12</t>
        </is>
      </c>
      <c r="B85" t="inlineStr">
        <is>
          <t>BI-FAST DB BIF BIAYA TXN KE</t>
        </is>
      </c>
      <c r="C85" t="n">
        <v>250000</v>
      </c>
      <c r="D85" t="n">
        <v>0</v>
      </c>
      <c r="E85">
        <f>IFERROR(LOOKUP(2^15,SEARCH(RULE_KATEGORI!$A$2:$A$100,B85),RULE_KATEGORI!$B$2:$B$100),"OPERASIONAL")</f>
        <v/>
      </c>
      <c r="G85" t="inlineStr">
        <is>
          <t>12</t>
        </is>
      </c>
      <c r="H85" t="inlineStr">
        <is>
          <t>2025</t>
        </is>
      </c>
    </row>
    <row r="86">
      <c r="A86" t="inlineStr">
        <is>
          <t>13/12</t>
        </is>
      </c>
      <c r="B86" t="inlineStr">
        <is>
          <t>TRSF E-BANKING DB 1312/FTSCY/WS95271</t>
        </is>
      </c>
      <c r="C86" t="n">
        <v>9500000</v>
      </c>
      <c r="D86" t="n">
        <v>0</v>
      </c>
      <c r="E86">
        <f>IFERROR(LOOKUP(2^15,SEARCH(RULE_KATEGORI!$A$2:$A$100,B86),RULE_KATEGORI!$B$2:$B$100),"OPERASIONAL")</f>
        <v/>
      </c>
      <c r="G86" t="inlineStr">
        <is>
          <t>12</t>
        </is>
      </c>
      <c r="H86" t="inlineStr">
        <is>
          <t>2025</t>
        </is>
      </c>
    </row>
    <row r="87">
      <c r="A87" t="inlineStr">
        <is>
          <t>13/12</t>
        </is>
      </c>
      <c r="B87" t="inlineStr">
        <is>
          <t>TRSF E-BANKING DB 1312/FTSCY/WS95271</t>
        </is>
      </c>
      <c r="C87" t="n">
        <v>800000000</v>
      </c>
      <c r="D87" t="n">
        <v>0</v>
      </c>
      <c r="E87">
        <f>IFERROR(LOOKUP(2^15,SEARCH(RULE_KATEGORI!$A$2:$A$100,B87),RULE_KATEGORI!$B$2:$B$100),"OPERASIONAL")</f>
        <v/>
      </c>
      <c r="G87" t="inlineStr">
        <is>
          <t>12</t>
        </is>
      </c>
      <c r="H87" t="inlineStr">
        <is>
          <t>2025</t>
        </is>
      </c>
    </row>
    <row r="88">
      <c r="A88" t="inlineStr">
        <is>
          <t>13/12</t>
        </is>
      </c>
      <c r="B88" t="inlineStr">
        <is>
          <t>TRSF E-BANKING DB 1312/FTFVA/WS95271 27,000.00</t>
        </is>
      </c>
      <c r="C88" t="n">
        <v>0</v>
      </c>
      <c r="D88" t="n">
        <v>157879074</v>
      </c>
      <c r="E88">
        <f>IFERROR(LOOKUP(2^15,SEARCH(RULE_KATEGORI!$A$2:$A$100,B88),RULE_KATEGORI!$B$2:$B$100),"OPERASIONAL")</f>
        <v/>
      </c>
      <c r="G88" t="inlineStr">
        <is>
          <t>12</t>
        </is>
      </c>
      <c r="H88" t="inlineStr">
        <is>
          <t>2025</t>
        </is>
      </c>
    </row>
    <row r="89">
      <c r="A89" t="inlineStr">
        <is>
          <t>71231/XL</t>
        </is>
      </c>
      <c r="B89" t="inlineStr">
        <is>
          <t>PULSA</t>
        </is>
      </c>
      <c r="C89" t="n">
        <v>0</v>
      </c>
      <c r="D89" t="n">
        <v>2</v>
      </c>
      <c r="E89">
        <f>IFERROR(LOOKUP(2^15,SEARCH(RULE_KATEGORI!$A$2:$A$100,B89),RULE_KATEGORI!$B$2:$B$100),"OPERASIONAL")</f>
        <v/>
      </c>
      <c r="G89" t="inlineStr">
        <is>
          <t>12</t>
        </is>
      </c>
      <c r="H89" t="inlineStr">
        <is>
          <t>2025</t>
        </is>
      </c>
    </row>
    <row r="90">
      <c r="A90" t="inlineStr">
        <is>
          <t>13/12</t>
        </is>
      </c>
      <c r="B90" t="inlineStr">
        <is>
          <t>TRSF E-BANKING DB 1312/FTSCY/WS95271 367,000.00</t>
        </is>
      </c>
      <c r="C90" t="n">
        <v>0</v>
      </c>
      <c r="D90" t="n">
        <v>121179074</v>
      </c>
      <c r="E90">
        <f>IFERROR(LOOKUP(2^15,SEARCH(RULE_KATEGORI!$A$2:$A$100,B90),RULE_KATEGORI!$B$2:$B$100),"OPERASIONAL")</f>
        <v/>
      </c>
      <c r="G90" t="inlineStr">
        <is>
          <t>12</t>
        </is>
      </c>
      <c r="H90" t="inlineStr">
        <is>
          <t>2025</t>
        </is>
      </c>
    </row>
    <row r="91">
      <c r="A91" t="inlineStr">
        <is>
          <t>13/12</t>
        </is>
      </c>
      <c r="B91" t="inlineStr">
        <is>
          <t>TRSF E-BANKING DB 1312/FTFVA/WS95271 20,000.00</t>
        </is>
      </c>
      <c r="C91" t="n">
        <v>0</v>
      </c>
      <c r="D91" t="n">
        <v>119179074</v>
      </c>
      <c r="E91">
        <f>IFERROR(LOOKUP(2^15,SEARCH(RULE_KATEGORI!$A$2:$A$100,B91),RULE_KATEGORI!$B$2:$B$100),"OPERASIONAL")</f>
        <v/>
      </c>
      <c r="G91" t="inlineStr">
        <is>
          <t>12</t>
        </is>
      </c>
      <c r="H91" t="inlineStr">
        <is>
          <t>2025</t>
        </is>
      </c>
    </row>
    <row r="92">
      <c r="A92" t="inlineStr">
        <is>
          <t>14/12</t>
        </is>
      </c>
      <c r="B92" t="inlineStr">
        <is>
          <t>TRANSAKSI DEBIT TGL: 14/12</t>
        </is>
      </c>
      <c r="C92" t="n">
        <v>1000000</v>
      </c>
      <c r="D92" t="n">
        <v>0</v>
      </c>
      <c r="E92">
        <f>IFERROR(LOOKUP(2^15,SEARCH(RULE_KATEGORI!$A$2:$A$100,B92),RULE_KATEGORI!$B$2:$B$100),"OPERASIONAL")</f>
        <v/>
      </c>
      <c r="G92" t="inlineStr">
        <is>
          <t>12</t>
        </is>
      </c>
      <c r="H92" t="inlineStr">
        <is>
          <t>2025</t>
        </is>
      </c>
    </row>
    <row r="93">
      <c r="A93" t="inlineStr">
        <is>
          <t>14/12</t>
        </is>
      </c>
      <c r="B93" t="inlineStr">
        <is>
          <t>TRSF E-BANKING DB 1412/FTSCY/WS95271</t>
        </is>
      </c>
      <c r="C93" t="n">
        <v>10000000</v>
      </c>
      <c r="D93" t="n">
        <v>0</v>
      </c>
      <c r="E93">
        <f>IFERROR(LOOKUP(2^15,SEARCH(RULE_KATEGORI!$A$2:$A$100,B93),RULE_KATEGORI!$B$2:$B$100),"OPERASIONAL")</f>
        <v/>
      </c>
      <c r="G93" t="inlineStr">
        <is>
          <t>12</t>
        </is>
      </c>
      <c r="H93" t="inlineStr">
        <is>
          <t>2025</t>
        </is>
      </c>
    </row>
    <row r="94">
      <c r="A94" t="inlineStr">
        <is>
          <t>14/12</t>
        </is>
      </c>
      <c r="B94" t="inlineStr">
        <is>
          <t>TRSF E-BANKING DB 1412/FTFVA/WS95271</t>
        </is>
      </c>
      <c r="C94" t="n">
        <v>2000000</v>
      </c>
      <c r="D94" t="n">
        <v>0</v>
      </c>
      <c r="E94">
        <f>IFERROR(LOOKUP(2^15,SEARCH(RULE_KATEGORI!$A$2:$A$100,B94),RULE_KATEGORI!$B$2:$B$100),"OPERASIONAL")</f>
        <v/>
      </c>
      <c r="G94" t="inlineStr">
        <is>
          <t>12</t>
        </is>
      </c>
      <c r="H94" t="inlineStr">
        <is>
          <t>2025</t>
        </is>
      </c>
    </row>
    <row r="95">
      <c r="A95" t="inlineStr">
        <is>
          <t>14/12</t>
        </is>
      </c>
      <c r="B95" t="inlineStr">
        <is>
          <t>BYR VIA E-BANKING 14/12 WSID9527100 53,000.00</t>
        </is>
      </c>
      <c r="C95" t="n">
        <v>0</v>
      </c>
      <c r="D95" t="n">
        <v>100879074</v>
      </c>
      <c r="E95">
        <f>IFERROR(LOOKUP(2^15,SEARCH(RULE_KATEGORI!$A$2:$A$100,B95),RULE_KATEGORI!$B$2:$B$100),"OPERASIONAL")</f>
        <v/>
      </c>
      <c r="G95" t="inlineStr">
        <is>
          <t>12</t>
        </is>
      </c>
      <c r="H95" t="inlineStr">
        <is>
          <t>2025</t>
        </is>
      </c>
    </row>
    <row r="96">
      <c r="A96" t="inlineStr">
        <is>
          <t>15/12</t>
        </is>
      </c>
      <c r="B96" t="inlineStr">
        <is>
          <t>TRSF E-BANKING DB 1512/FTSCY/WS95271</t>
        </is>
      </c>
      <c r="C96" t="n">
        <v>10000000</v>
      </c>
      <c r="D96" t="n">
        <v>0</v>
      </c>
      <c r="E96">
        <f>IFERROR(LOOKUP(2^15,SEARCH(RULE_KATEGORI!$A$2:$A$100,B96),RULE_KATEGORI!$B$2:$B$100),"OPERASIONAL")</f>
        <v/>
      </c>
      <c r="G96" t="inlineStr">
        <is>
          <t>12</t>
        </is>
      </c>
      <c r="H96" t="inlineStr">
        <is>
          <t>2025</t>
        </is>
      </c>
    </row>
    <row r="97">
      <c r="A97" t="inlineStr">
        <is>
          <t>15/12</t>
        </is>
      </c>
      <c r="B97" t="inlineStr">
        <is>
          <t>TRANSAKSI DEBIT TGL: 15/12</t>
        </is>
      </c>
      <c r="C97" t="n">
        <v>5790000</v>
      </c>
      <c r="D97" t="n">
        <v>0</v>
      </c>
      <c r="E97">
        <f>IFERROR(LOOKUP(2^15,SEARCH(RULE_KATEGORI!$A$2:$A$100,B97),RULE_KATEGORI!$B$2:$B$100),"OPERASIONAL")</f>
        <v/>
      </c>
      <c r="G97" t="inlineStr">
        <is>
          <t>12</t>
        </is>
      </c>
      <c r="H97" t="inlineStr">
        <is>
          <t>2025</t>
        </is>
      </c>
    </row>
    <row r="98">
      <c r="A98" t="inlineStr">
        <is>
          <t>15/12</t>
        </is>
      </c>
      <c r="B98" t="inlineStr">
        <is>
          <t>TRSF E-BANKING DB 1512/FTSCY/WS95271</t>
        </is>
      </c>
      <c r="C98" t="n">
        <v>10000000</v>
      </c>
      <c r="D98" t="n">
        <v>0</v>
      </c>
      <c r="E98">
        <f>IFERROR(LOOKUP(2^15,SEARCH(RULE_KATEGORI!$A$2:$A$100,B98),RULE_KATEGORI!$B$2:$B$100),"OPERASIONAL")</f>
        <v/>
      </c>
      <c r="G98" t="inlineStr">
        <is>
          <t>12</t>
        </is>
      </c>
      <c r="H98" t="inlineStr">
        <is>
          <t>2025</t>
        </is>
      </c>
    </row>
    <row r="99">
      <c r="A99" t="inlineStr">
        <is>
          <t>15/12</t>
        </is>
      </c>
      <c r="B99" t="inlineStr">
        <is>
          <t>TRSF E-BANKING DB 1512/FTSCY/WS95271 100,000.00</t>
        </is>
      </c>
      <c r="C99" t="n">
        <v>0</v>
      </c>
      <c r="D99" t="n">
        <v>65089074</v>
      </c>
      <c r="E99">
        <f>IFERROR(LOOKUP(2^15,SEARCH(RULE_KATEGORI!$A$2:$A$100,B99),RULE_KATEGORI!$B$2:$B$100),"OPERASIONAL")</f>
        <v/>
      </c>
      <c r="G99" t="inlineStr">
        <is>
          <t>12</t>
        </is>
      </c>
      <c r="H99" t="inlineStr">
        <is>
          <t>2025</t>
        </is>
      </c>
    </row>
    <row r="100">
      <c r="A100" t="inlineStr">
        <is>
          <t>16/12</t>
        </is>
      </c>
      <c r="B100" t="inlineStr">
        <is>
          <t>TRSF E-BANKING CR 1612/FTSCY/WS95031</t>
        </is>
      </c>
      <c r="C100" t="inlineStr">
        <is>
          <t>15000000</t>
        </is>
      </c>
      <c r="D100" t="inlineStr">
        <is>
          <t>80089074</t>
        </is>
      </c>
      <c r="E100">
        <f>IFERROR(LOOKUP(2^15,SEARCH(RULE_KATEGORI!$A$2:$A$100,B100),RULE_KATEGORI!$B$2:$B$100),"OPERASIONAL")</f>
        <v/>
      </c>
      <c r="G100" t="inlineStr">
        <is>
          <t>12</t>
        </is>
      </c>
      <c r="H100" t="inlineStr">
        <is>
          <t>2025</t>
        </is>
      </c>
    </row>
    <row r="101">
      <c r="A101" t="inlineStr">
        <is>
          <t>16/12</t>
        </is>
      </c>
      <c r="B101" t="inlineStr">
        <is>
          <t>BI-FAST DB BIF TRANSFER KE</t>
        </is>
      </c>
      <c r="C101" t="n">
        <v>15000000</v>
      </c>
      <c r="D101" t="n">
        <v>0</v>
      </c>
      <c r="E101">
        <f>IFERROR(LOOKUP(2^15,SEARCH(RULE_KATEGORI!$A$2:$A$100,B101),RULE_KATEGORI!$B$2:$B$100),"OPERASIONAL")</f>
        <v/>
      </c>
      <c r="G101" t="inlineStr">
        <is>
          <t>12</t>
        </is>
      </c>
      <c r="H101" t="inlineStr">
        <is>
          <t>2025</t>
        </is>
      </c>
    </row>
    <row r="102">
      <c r="A102" t="inlineStr">
        <is>
          <t>16/12</t>
        </is>
      </c>
      <c r="B102" t="inlineStr">
        <is>
          <t>BI-FAST DB BIF BIAYA TXN KE 2,500.00</t>
        </is>
      </c>
      <c r="C102" t="n">
        <v>0</v>
      </c>
      <c r="D102" t="n">
        <v>64839074</v>
      </c>
      <c r="E102">
        <f>IFERROR(LOOKUP(2^15,SEARCH(RULE_KATEGORI!$A$2:$A$100,B102),RULE_KATEGORI!$B$2:$B$100),"OPERASIONAL")</f>
        <v/>
      </c>
      <c r="G102" t="inlineStr">
        <is>
          <t>12</t>
        </is>
      </c>
      <c r="H102" t="inlineStr">
        <is>
          <t>2025</t>
        </is>
      </c>
    </row>
    <row r="103">
      <c r="A103" t="inlineStr">
        <is>
          <t>17/12</t>
        </is>
      </c>
      <c r="B103" t="inlineStr">
        <is>
          <t>TRSF E-BANKING DB 1712/FTFVA/WS95271</t>
        </is>
      </c>
      <c r="C103" t="n">
        <v>5000000</v>
      </c>
      <c r="D103" t="n">
        <v>0</v>
      </c>
      <c r="E103">
        <f>IFERROR(LOOKUP(2^15,SEARCH(RULE_KATEGORI!$A$2:$A$100,B103),RULE_KATEGORI!$B$2:$B$100),"OPERASIONAL")</f>
        <v/>
      </c>
      <c r="G103" t="inlineStr">
        <is>
          <t>12</t>
        </is>
      </c>
      <c r="H103" t="inlineStr">
        <is>
          <t>2025</t>
        </is>
      </c>
    </row>
    <row r="104">
      <c r="A104" t="inlineStr">
        <is>
          <t>17/12</t>
        </is>
      </c>
      <c r="B104" t="inlineStr">
        <is>
          <t>BYR VIA E-BANKING 17/12 WSID9527100</t>
        </is>
      </c>
      <c r="C104" t="n">
        <v>10300000</v>
      </c>
      <c r="D104" t="n">
        <v>0</v>
      </c>
      <c r="E104">
        <f>IFERROR(LOOKUP(2^15,SEARCH(RULE_KATEGORI!$A$2:$A$100,B104),RULE_KATEGORI!$B$2:$B$100),"OPERASIONAL")</f>
        <v/>
      </c>
      <c r="G104" t="inlineStr">
        <is>
          <t>12</t>
        </is>
      </c>
      <c r="H104" t="inlineStr">
        <is>
          <t>2025</t>
        </is>
      </c>
    </row>
    <row r="105">
      <c r="A105" t="inlineStr">
        <is>
          <t>17/12</t>
        </is>
      </c>
      <c r="B105" t="inlineStr">
        <is>
          <t>TRANSAKSI DEBIT TGL: 17/12</t>
        </is>
      </c>
      <c r="C105" t="n">
        <v>3500000</v>
      </c>
      <c r="D105" t="n">
        <v>0</v>
      </c>
      <c r="E105">
        <f>IFERROR(LOOKUP(2^15,SEARCH(RULE_KATEGORI!$A$2:$A$100,B105),RULE_KATEGORI!$B$2:$B$100),"OPERASIONAL")</f>
        <v/>
      </c>
      <c r="G105" t="inlineStr">
        <is>
          <t>12</t>
        </is>
      </c>
      <c r="H105" t="inlineStr">
        <is>
          <t>2025</t>
        </is>
      </c>
    </row>
    <row r="106">
      <c r="A106" t="inlineStr">
        <is>
          <t>17/12</t>
        </is>
      </c>
      <c r="B106" t="inlineStr">
        <is>
          <t>TRANSAKSI DEBIT TGL: 17/12</t>
        </is>
      </c>
      <c r="C106" t="n">
        <v>5000000</v>
      </c>
      <c r="D106" t="n">
        <v>0</v>
      </c>
      <c r="E106">
        <f>IFERROR(LOOKUP(2^15,SEARCH(RULE_KATEGORI!$A$2:$A$100,B106),RULE_KATEGORI!$B$2:$B$100),"OPERASIONAL")</f>
        <v/>
      </c>
      <c r="G106" t="inlineStr">
        <is>
          <t>12</t>
        </is>
      </c>
      <c r="H106" t="inlineStr">
        <is>
          <t>2025</t>
        </is>
      </c>
    </row>
    <row r="107">
      <c r="A107" t="inlineStr">
        <is>
          <t>17/12</t>
        </is>
      </c>
      <c r="B107" t="inlineStr">
        <is>
          <t>TRANSAKSI DEBIT TGL: 17/12</t>
        </is>
      </c>
      <c r="C107" t="n">
        <v>5000000</v>
      </c>
      <c r="D107" t="n">
        <v>0</v>
      </c>
      <c r="E107">
        <f>IFERROR(LOOKUP(2^15,SEARCH(RULE_KATEGORI!$A$2:$A$100,B107),RULE_KATEGORI!$B$2:$B$100),"OPERASIONAL")</f>
        <v/>
      </c>
      <c r="G107" t="inlineStr">
        <is>
          <t>12</t>
        </is>
      </c>
      <c r="H107" t="inlineStr">
        <is>
          <t>2025</t>
        </is>
      </c>
    </row>
    <row r="108">
      <c r="A108" t="inlineStr">
        <is>
          <t>17/12</t>
        </is>
      </c>
      <c r="B108" t="inlineStr">
        <is>
          <t>TRANSAKSI DEBIT TGL: 17/12 48,000.00</t>
        </is>
      </c>
      <c r="C108" t="n">
        <v>0</v>
      </c>
      <c r="D108" t="n">
        <v>31239074</v>
      </c>
      <c r="E108">
        <f>IFERROR(LOOKUP(2^15,SEARCH(RULE_KATEGORI!$A$2:$A$100,B108),RULE_KATEGORI!$B$2:$B$100),"OPERASIONAL")</f>
        <v/>
      </c>
      <c r="G108" t="inlineStr">
        <is>
          <t>12</t>
        </is>
      </c>
      <c r="H108" t="inlineStr">
        <is>
          <t>2025</t>
        </is>
      </c>
    </row>
    <row r="109">
      <c r="A109" t="inlineStr">
        <is>
          <t>18/12</t>
        </is>
      </c>
      <c r="B109" t="inlineStr">
        <is>
          <t>TRSF E-BANKING DB 1812/FTFVA/WS95271 21,000.00</t>
        </is>
      </c>
      <c r="C109" t="n">
        <v>0</v>
      </c>
      <c r="D109" t="n">
        <v>29139074</v>
      </c>
      <c r="E109">
        <f>IFERROR(LOOKUP(2^15,SEARCH(RULE_KATEGORI!$A$2:$A$100,B109),RULE_KATEGORI!$B$2:$B$100),"OPERASIONAL")</f>
        <v/>
      </c>
      <c r="G109" t="inlineStr">
        <is>
          <t>12</t>
        </is>
      </c>
      <c r="H109" t="inlineStr">
        <is>
          <t>2025</t>
        </is>
      </c>
    </row>
    <row r="110">
      <c r="A110" t="inlineStr">
        <is>
          <t>18/12</t>
        </is>
      </c>
      <c r="B110" t="inlineStr">
        <is>
          <t>TRSF E-BANKING DB 1812/FTFVA/WS95271 155,000.00</t>
        </is>
      </c>
      <c r="C110" t="n">
        <v>0</v>
      </c>
      <c r="D110" t="n">
        <v>13639074</v>
      </c>
      <c r="E110">
        <f>IFERROR(LOOKUP(2^15,SEARCH(RULE_KATEGORI!$A$2:$A$100,B110),RULE_KATEGORI!$B$2:$B$100),"OPERASIONAL")</f>
        <v/>
      </c>
      <c r="G110" t="inlineStr">
        <is>
          <t>12</t>
        </is>
      </c>
      <c r="H110" t="inlineStr">
        <is>
          <t>2025</t>
        </is>
      </c>
    </row>
    <row r="111">
      <c r="A111" t="inlineStr">
        <is>
          <t>19/12</t>
        </is>
      </c>
      <c r="B111" t="inlineStr">
        <is>
          <t>BIAYA ADM 20,000.00</t>
        </is>
      </c>
      <c r="C111" t="n">
        <v>0</v>
      </c>
      <c r="D111" t="n">
        <v>11639074</v>
      </c>
      <c r="E111">
        <f>IFERROR(LOOKUP(2^15,SEARCH(RULE_KATEGORI!$A$2:$A$100,B111),RULE_KATEGORI!$B$2:$B$100),"OPERASIONAL")</f>
        <v/>
      </c>
      <c r="G111" t="inlineStr">
        <is>
          <t>12</t>
        </is>
      </c>
      <c r="H111" t="inlineStr">
        <is>
          <t>2025</t>
        </is>
      </c>
    </row>
    <row r="112">
      <c r="A112" t="inlineStr">
        <is>
          <t>20/12</t>
        </is>
      </c>
      <c r="B112" t="inlineStr">
        <is>
          <t>TRSF E-BANKING DB 1912/FTFVA/WS95271</t>
        </is>
      </c>
      <c r="C112" t="n">
        <v>2100000</v>
      </c>
      <c r="D112" t="n">
        <v>0</v>
      </c>
      <c r="E112">
        <f>IFERROR(LOOKUP(2^15,SEARCH(RULE_KATEGORI!$A$2:$A$100,B112),RULE_KATEGORI!$B$2:$B$100),"OPERASIONAL")</f>
        <v/>
      </c>
      <c r="G112" t="inlineStr">
        <is>
          <t>12</t>
        </is>
      </c>
      <c r="H112" t="inlineStr">
        <is>
          <t>2025</t>
        </is>
      </c>
    </row>
    <row r="113">
      <c r="A113" t="inlineStr">
        <is>
          <t>20/12</t>
        </is>
      </c>
      <c r="B113" t="inlineStr">
        <is>
          <t>BI-FAST CR BIF TRANSFER</t>
        </is>
      </c>
      <c r="C113" t="n">
        <v>0</v>
      </c>
      <c r="D113" t="n">
        <v>750000000</v>
      </c>
      <c r="E113">
        <f>IFERROR(LOOKUP(2^15,SEARCH(RULE_KATEGORI!$A$2:$A$100,B113),RULE_KATEGORI!$B$2:$B$100),"OPERASIONAL")</f>
        <v/>
      </c>
      <c r="G113" t="inlineStr">
        <is>
          <t>12</t>
        </is>
      </c>
      <c r="H113" t="inlineStr">
        <is>
          <t>2025</t>
        </is>
      </c>
    </row>
    <row r="114">
      <c r="A114" t="inlineStr">
        <is>
          <t>20/12</t>
        </is>
      </c>
      <c r="B114" t="inlineStr">
        <is>
          <t>TRSF E-BANKING DB 2012/FTSCY/WS95271</t>
        </is>
      </c>
      <c r="C114" t="n">
        <v>220000000</v>
      </c>
      <c r="D114" t="n">
        <v>0</v>
      </c>
      <c r="E114">
        <f>IFERROR(LOOKUP(2^15,SEARCH(RULE_KATEGORI!$A$2:$A$100,B114),RULE_KATEGORI!$B$2:$B$100),"OPERASIONAL")</f>
        <v/>
      </c>
      <c r="G114" t="inlineStr">
        <is>
          <t>12</t>
        </is>
      </c>
      <c r="H114" t="inlineStr">
        <is>
          <t>2025</t>
        </is>
      </c>
    </row>
    <row r="115">
      <c r="A115" t="inlineStr">
        <is>
          <t>20/12</t>
        </is>
      </c>
      <c r="B115" t="inlineStr">
        <is>
          <t>BI-FAST DB BIF TRANSFER KE</t>
        </is>
      </c>
      <c r="C115" t="n">
        <v>190000000</v>
      </c>
      <c r="D115" t="n">
        <v>0</v>
      </c>
      <c r="E115">
        <f>IFERROR(LOOKUP(2^15,SEARCH(RULE_KATEGORI!$A$2:$A$100,B115),RULE_KATEGORI!$B$2:$B$100),"OPERASIONAL")</f>
        <v/>
      </c>
      <c r="G115" t="inlineStr">
        <is>
          <t>12</t>
        </is>
      </c>
      <c r="H115" t="inlineStr">
        <is>
          <t>2025</t>
        </is>
      </c>
    </row>
    <row r="116">
      <c r="A116" t="inlineStr">
        <is>
          <t>20/12</t>
        </is>
      </c>
      <c r="B116" t="inlineStr">
        <is>
          <t>BI-FAST DB BIF BIAYA TXN KE</t>
        </is>
      </c>
      <c r="C116" t="n">
        <v>250000</v>
      </c>
      <c r="D116" t="n">
        <v>0</v>
      </c>
      <c r="E116">
        <f>IFERROR(LOOKUP(2^15,SEARCH(RULE_KATEGORI!$A$2:$A$100,B116),RULE_KATEGORI!$B$2:$B$100),"OPERASIONAL")</f>
        <v/>
      </c>
      <c r="G116" t="inlineStr">
        <is>
          <t>12</t>
        </is>
      </c>
      <c r="H116" t="inlineStr">
        <is>
          <t>2025</t>
        </is>
      </c>
    </row>
    <row r="117">
      <c r="A117" t="inlineStr">
        <is>
          <t>20/12</t>
        </is>
      </c>
      <c r="B117" t="inlineStr">
        <is>
          <t>BI-FAST DB BIF TRANSFER KE</t>
        </is>
      </c>
      <c r="C117" t="n">
        <v>130000000</v>
      </c>
      <c r="D117" t="n">
        <v>0</v>
      </c>
      <c r="E117">
        <f>IFERROR(LOOKUP(2^15,SEARCH(RULE_KATEGORI!$A$2:$A$100,B117),RULE_KATEGORI!$B$2:$B$100),"OPERASIONAL")</f>
        <v/>
      </c>
      <c r="G117" t="inlineStr">
        <is>
          <t>12</t>
        </is>
      </c>
      <c r="H117" t="inlineStr">
        <is>
          <t>2025</t>
        </is>
      </c>
    </row>
    <row r="118">
      <c r="A118" t="inlineStr">
        <is>
          <t>20/12</t>
        </is>
      </c>
      <c r="B118" t="inlineStr">
        <is>
          <t>BI-FAST DB BIF BIAYA TXN KE</t>
        </is>
      </c>
      <c r="C118" t="n">
        <v>250000</v>
      </c>
      <c r="D118" t="n">
        <v>0</v>
      </c>
      <c r="E118">
        <f>IFERROR(LOOKUP(2^15,SEARCH(RULE_KATEGORI!$A$2:$A$100,B118),RULE_KATEGORI!$B$2:$B$100),"OPERASIONAL")</f>
        <v/>
      </c>
      <c r="G118" t="inlineStr">
        <is>
          <t>12</t>
        </is>
      </c>
      <c r="H118" t="inlineStr">
        <is>
          <t>2025</t>
        </is>
      </c>
    </row>
    <row r="119">
      <c r="A119" t="inlineStr">
        <is>
          <t>20/12</t>
        </is>
      </c>
      <c r="B119" t="inlineStr">
        <is>
          <t>TRSF E-BANKING DB 2012/FTSCY/WS95271 155,000.00</t>
        </is>
      </c>
      <c r="C119" t="n">
        <v>0</v>
      </c>
      <c r="D119" t="n">
        <v>203539074</v>
      </c>
      <c r="E119">
        <f>IFERROR(LOOKUP(2^15,SEARCH(RULE_KATEGORI!$A$2:$A$100,B119),RULE_KATEGORI!$B$2:$B$100),"OPERASIONAL")</f>
        <v/>
      </c>
      <c r="G119" t="inlineStr">
        <is>
          <t>12</t>
        </is>
      </c>
      <c r="H119" t="inlineStr">
        <is>
          <t>2025</t>
        </is>
      </c>
    </row>
    <row r="120">
      <c r="A120" t="inlineStr">
        <is>
          <t>20/12</t>
        </is>
      </c>
      <c r="B120" t="inlineStr">
        <is>
          <t>TRSF E-BANKING DB 2012/FTFVA/WS95271 100,000.00</t>
        </is>
      </c>
      <c r="C120" t="n">
        <v>0</v>
      </c>
      <c r="D120" t="n">
        <v>193539074</v>
      </c>
      <c r="E120">
        <f>IFERROR(LOOKUP(2^15,SEARCH(RULE_KATEGORI!$A$2:$A$100,B120),RULE_KATEGORI!$B$2:$B$100),"OPERASIONAL")</f>
        <v/>
      </c>
      <c r="G120" t="inlineStr">
        <is>
          <t>12</t>
        </is>
      </c>
      <c r="H120" t="inlineStr">
        <is>
          <t>2025</t>
        </is>
      </c>
    </row>
    <row r="121">
      <c r="A121" t="inlineStr">
        <is>
          <t>20/12</t>
        </is>
      </c>
      <c r="B121" t="inlineStr">
        <is>
          <t>TRSF E-BANKING DB 2012/FTFVA/WS95271</t>
        </is>
      </c>
      <c r="C121" t="n">
        <v>2000000</v>
      </c>
      <c r="D121" t="n">
        <v>0</v>
      </c>
      <c r="E121">
        <f>IFERROR(LOOKUP(2^15,SEARCH(RULE_KATEGORI!$A$2:$A$100,B121),RULE_KATEGORI!$B$2:$B$100),"OPERASIONAL")</f>
        <v/>
      </c>
      <c r="G121" t="inlineStr">
        <is>
          <t>12</t>
        </is>
      </c>
      <c r="H121" t="inlineStr">
        <is>
          <t>2025</t>
        </is>
      </c>
    </row>
    <row r="122">
      <c r="A122" t="inlineStr">
        <is>
          <t>20/12</t>
        </is>
      </c>
      <c r="B122" t="inlineStr">
        <is>
          <t>TRSF E-BANKING DB 2012/FTFVA/WS95271</t>
        </is>
      </c>
      <c r="C122" t="n">
        <v>25000000</v>
      </c>
      <c r="D122" t="n">
        <v>0</v>
      </c>
      <c r="E122">
        <f>IFERROR(LOOKUP(2^15,SEARCH(RULE_KATEGORI!$A$2:$A$100,B122),RULE_KATEGORI!$B$2:$B$100),"OPERASIONAL")</f>
        <v/>
      </c>
      <c r="G122" t="inlineStr">
        <is>
          <t>12</t>
        </is>
      </c>
      <c r="H122" t="inlineStr">
        <is>
          <t>2025</t>
        </is>
      </c>
    </row>
    <row r="123">
      <c r="A123" t="inlineStr">
        <is>
          <t>20/12</t>
        </is>
      </c>
      <c r="B123" t="inlineStr">
        <is>
          <t>TRANSAKSI DEBIT TGL: 20/12</t>
        </is>
      </c>
      <c r="C123" t="n">
        <v>25000000</v>
      </c>
      <c r="D123" t="n">
        <v>0</v>
      </c>
      <c r="E123">
        <f>IFERROR(LOOKUP(2^15,SEARCH(RULE_KATEGORI!$A$2:$A$100,B123),RULE_KATEGORI!$B$2:$B$100),"OPERASIONAL")</f>
        <v/>
      </c>
      <c r="G123" t="inlineStr">
        <is>
          <t>12</t>
        </is>
      </c>
      <c r="H123" t="inlineStr">
        <is>
          <t>2025</t>
        </is>
      </c>
    </row>
    <row r="124">
      <c r="A124" t="inlineStr">
        <is>
          <t>20/12</t>
        </is>
      </c>
      <c r="B124" t="inlineStr">
        <is>
          <t>TRANSAKSI DEBIT TGL: 20/12 31,000.00</t>
        </is>
      </c>
      <c r="C124" t="n">
        <v>0</v>
      </c>
      <c r="D124" t="n">
        <v>138439074</v>
      </c>
      <c r="E124">
        <f>IFERROR(LOOKUP(2^15,SEARCH(RULE_KATEGORI!$A$2:$A$100,B124),RULE_KATEGORI!$B$2:$B$100),"OPERASIONAL")</f>
        <v/>
      </c>
      <c r="G124" t="inlineStr">
        <is>
          <t>12</t>
        </is>
      </c>
      <c r="H124" t="inlineStr">
        <is>
          <t>2025</t>
        </is>
      </c>
    </row>
    <row r="125">
      <c r="A125" t="inlineStr">
        <is>
          <t>21/12</t>
        </is>
      </c>
      <c r="B125" t="inlineStr">
        <is>
          <t>TRANSAKSI DEBIT TGL: 21/12</t>
        </is>
      </c>
      <c r="C125" t="n">
        <v>22000000</v>
      </c>
      <c r="D125" t="n">
        <v>0</v>
      </c>
      <c r="E125">
        <f>IFERROR(LOOKUP(2^15,SEARCH(RULE_KATEGORI!$A$2:$A$100,B125),RULE_KATEGORI!$B$2:$B$100),"OPERASIONAL")</f>
        <v/>
      </c>
      <c r="G125" t="inlineStr">
        <is>
          <t>12</t>
        </is>
      </c>
      <c r="H125" t="inlineStr">
        <is>
          <t>2025</t>
        </is>
      </c>
    </row>
    <row r="126">
      <c r="A126" t="inlineStr">
        <is>
          <t>21/12</t>
        </is>
      </c>
      <c r="B126" t="inlineStr">
        <is>
          <t>TRANSAKSI DEBIT TGL: 21/12</t>
        </is>
      </c>
      <c r="C126" t="n">
        <v>1430000</v>
      </c>
      <c r="D126" t="n">
        <v>0</v>
      </c>
      <c r="E126">
        <f>IFERROR(LOOKUP(2^15,SEARCH(RULE_KATEGORI!$A$2:$A$100,B126),RULE_KATEGORI!$B$2:$B$100),"OPERASIONAL")</f>
        <v/>
      </c>
      <c r="G126" t="inlineStr">
        <is>
          <t>12</t>
        </is>
      </c>
      <c r="H126" t="inlineStr">
        <is>
          <t>2025</t>
        </is>
      </c>
    </row>
    <row r="127">
      <c r="A127" t="inlineStr">
        <is>
          <t>21/12</t>
        </is>
      </c>
      <c r="B127" t="inlineStr">
        <is>
          <t>TRANSAKSI DEBIT TGL: 21/12</t>
        </is>
      </c>
      <c r="C127" t="n">
        <v>4900000</v>
      </c>
      <c r="D127" t="n">
        <v>0</v>
      </c>
      <c r="E127">
        <f>IFERROR(LOOKUP(2^15,SEARCH(RULE_KATEGORI!$A$2:$A$100,B127),RULE_KATEGORI!$B$2:$B$100),"OPERASIONAL")</f>
        <v/>
      </c>
      <c r="G127" t="inlineStr">
        <is>
          <t>12</t>
        </is>
      </c>
      <c r="H127" t="inlineStr">
        <is>
          <t>2025</t>
        </is>
      </c>
    </row>
    <row r="128">
      <c r="A128" t="inlineStr">
        <is>
          <t>21/12</t>
        </is>
      </c>
      <c r="B128" t="inlineStr">
        <is>
          <t>TRSF E-BANKING DB 2112/FTSCY/WS95271</t>
        </is>
      </c>
      <c r="C128" t="n">
        <v>5000000</v>
      </c>
      <c r="D128" t="n">
        <v>0</v>
      </c>
      <c r="E128">
        <f>IFERROR(LOOKUP(2^15,SEARCH(RULE_KATEGORI!$A$2:$A$100,B128),RULE_KATEGORI!$B$2:$B$100),"OPERASIONAL")</f>
        <v/>
      </c>
      <c r="G128" t="inlineStr">
        <is>
          <t>12</t>
        </is>
      </c>
      <c r="H128" t="inlineStr">
        <is>
          <t>2025</t>
        </is>
      </c>
    </row>
    <row r="129">
      <c r="A129" t="inlineStr">
        <is>
          <t>21/12</t>
        </is>
      </c>
      <c r="B129" t="inlineStr">
        <is>
          <t>TRSF E-BANKING DB 2112/FTFVA/WS95271 302,700.00</t>
        </is>
      </c>
      <c r="C129" t="n">
        <v>0</v>
      </c>
      <c r="D129" t="n">
        <v>74839074</v>
      </c>
      <c r="E129">
        <f>IFERROR(LOOKUP(2^15,SEARCH(RULE_KATEGORI!$A$2:$A$100,B129),RULE_KATEGORI!$B$2:$B$100),"OPERASIONAL")</f>
        <v/>
      </c>
      <c r="G129" t="inlineStr">
        <is>
          <t>12</t>
        </is>
      </c>
      <c r="H129" t="inlineStr">
        <is>
          <t>2025</t>
        </is>
      </c>
    </row>
    <row r="130">
      <c r="A130" t="inlineStr">
        <is>
          <t>22/12</t>
        </is>
      </c>
      <c r="B130" t="inlineStr">
        <is>
          <t>BYR VIA E-BANKING 22/12 WSID9527100 53,000.00</t>
        </is>
      </c>
      <c r="C130" t="n">
        <v>0</v>
      </c>
      <c r="D130" t="n">
        <v>69539074</v>
      </c>
      <c r="E130">
        <f>IFERROR(LOOKUP(2^15,SEARCH(RULE_KATEGORI!$A$2:$A$100,B130),RULE_KATEGORI!$B$2:$B$100),"OPERASIONAL")</f>
        <v/>
      </c>
      <c r="G130" t="inlineStr">
        <is>
          <t>12</t>
        </is>
      </c>
      <c r="H130" t="inlineStr">
        <is>
          <t>2025</t>
        </is>
      </c>
    </row>
    <row r="131">
      <c r="A131" t="inlineStr">
        <is>
          <t>22/12</t>
        </is>
      </c>
      <c r="B131" t="inlineStr">
        <is>
          <t>TRSF E-BANKING DB 2212/FTFVA/WS95271</t>
        </is>
      </c>
      <c r="C131" t="n">
        <v>5150000</v>
      </c>
      <c r="D131" t="n">
        <v>0</v>
      </c>
      <c r="E131">
        <f>IFERROR(LOOKUP(2^15,SEARCH(RULE_KATEGORI!$A$2:$A$100,B131),RULE_KATEGORI!$B$2:$B$100),"OPERASIONAL")</f>
        <v/>
      </c>
      <c r="G131" t="inlineStr">
        <is>
          <t>12</t>
        </is>
      </c>
      <c r="H131" t="inlineStr">
        <is>
          <t>2025</t>
        </is>
      </c>
    </row>
    <row r="132">
      <c r="A132" t="inlineStr">
        <is>
          <t>75001/FI</t>
        </is>
      </c>
      <c r="B132" t="inlineStr">
        <is>
          <t>22GB</t>
        </is>
      </c>
      <c r="C132" t="n">
        <v>0</v>
      </c>
      <c r="D132" t="n">
        <v>14</v>
      </c>
      <c r="E132">
        <f>IFERROR(LOOKUP(2^15,SEARCH(RULE_KATEGORI!$A$2:$A$100,B132),RULE_KATEGORI!$B$2:$B$100),"OPERASIONAL")</f>
        <v/>
      </c>
      <c r="G132" t="inlineStr">
        <is>
          <t>12</t>
        </is>
      </c>
      <c r="H132" t="inlineStr">
        <is>
          <t>2025</t>
        </is>
      </c>
    </row>
    <row r="133">
      <c r="A133" t="inlineStr">
        <is>
          <t>22/12</t>
        </is>
      </c>
      <c r="B133" t="inlineStr">
        <is>
          <t>TRSF E-BANKING DB 2212/FTFVA/WS95271 31,000.00</t>
        </is>
      </c>
      <c r="C133" t="n">
        <v>0</v>
      </c>
      <c r="D133" t="n">
        <v>61289074</v>
      </c>
      <c r="E133">
        <f>IFERROR(LOOKUP(2^15,SEARCH(RULE_KATEGORI!$A$2:$A$100,B133),RULE_KATEGORI!$B$2:$B$100),"OPERASIONAL")</f>
        <v/>
      </c>
      <c r="G133" t="inlineStr">
        <is>
          <t>12</t>
        </is>
      </c>
      <c r="H133" t="inlineStr">
        <is>
          <t>2025</t>
        </is>
      </c>
    </row>
    <row r="134">
      <c r="A134" t="inlineStr">
        <is>
          <t>23/12</t>
        </is>
      </c>
      <c r="B134" t="inlineStr">
        <is>
          <t>TRANSAKSI DEBIT TGL: 23/12</t>
        </is>
      </c>
      <c r="C134" t="n">
        <v>4000000</v>
      </c>
      <c r="D134" t="n">
        <v>0</v>
      </c>
      <c r="E134">
        <f>IFERROR(LOOKUP(2^15,SEARCH(RULE_KATEGORI!$A$2:$A$100,B134),RULE_KATEGORI!$B$2:$B$100),"OPERASIONAL")</f>
        <v/>
      </c>
      <c r="G134" t="inlineStr">
        <is>
          <t>12</t>
        </is>
      </c>
      <c r="H134" t="inlineStr">
        <is>
          <t>2025</t>
        </is>
      </c>
    </row>
    <row r="135">
      <c r="A135" t="inlineStr">
        <is>
          <t>23/12</t>
        </is>
      </c>
      <c r="B135" t="inlineStr">
        <is>
          <t>TRANSAKSI DEBIT TGL: 23/12</t>
        </is>
      </c>
      <c r="C135" t="n">
        <v>5500000</v>
      </c>
      <c r="D135" t="n">
        <v>0</v>
      </c>
      <c r="E135">
        <f>IFERROR(LOOKUP(2^15,SEARCH(RULE_KATEGORI!$A$2:$A$100,B135),RULE_KATEGORI!$B$2:$B$100),"OPERASIONAL")</f>
        <v/>
      </c>
      <c r="G135" t="inlineStr">
        <is>
          <t>12</t>
        </is>
      </c>
      <c r="H135" t="inlineStr">
        <is>
          <t>2025</t>
        </is>
      </c>
    </row>
    <row r="136">
      <c r="A136" t="inlineStr">
        <is>
          <t>23/12</t>
        </is>
      </c>
      <c r="B136" t="inlineStr">
        <is>
          <t>TRSF E-BANKING CR 23/12</t>
        </is>
      </c>
      <c r="C136" t="n">
        <v>0</v>
      </c>
      <c r="D136" t="n">
        <v>52500000</v>
      </c>
      <c r="E136">
        <f>IFERROR(LOOKUP(2^15,SEARCH(RULE_KATEGORI!$A$2:$A$100,B136),RULE_KATEGORI!$B$2:$B$100),"OPERASIONAL")</f>
        <v/>
      </c>
      <c r="G136" t="inlineStr">
        <is>
          <t>12</t>
        </is>
      </c>
      <c r="H136" t="inlineStr">
        <is>
          <t>2025</t>
        </is>
      </c>
    </row>
    <row r="137">
      <c r="A137" t="inlineStr">
        <is>
          <t>23/12</t>
        </is>
      </c>
      <c r="B137" t="inlineStr">
        <is>
          <t>BI-FAST CR BIF TRANSFER</t>
        </is>
      </c>
      <c r="C137" t="n">
        <v>0</v>
      </c>
      <c r="D137" t="n">
        <v>11000000</v>
      </c>
      <c r="E137">
        <f>IFERROR(LOOKUP(2^15,SEARCH(RULE_KATEGORI!$A$2:$A$100,B137),RULE_KATEGORI!$B$2:$B$100),"OPERASIONAL")</f>
        <v/>
      </c>
      <c r="G137" t="inlineStr">
        <is>
          <t>12</t>
        </is>
      </c>
      <c r="H137" t="inlineStr">
        <is>
          <t>2025</t>
        </is>
      </c>
    </row>
    <row r="138">
      <c r="A138" t="inlineStr">
        <is>
          <t>23/12</t>
        </is>
      </c>
      <c r="B138" t="inlineStr">
        <is>
          <t>TRANSAKSI DEBIT TGL: 23/12</t>
        </is>
      </c>
      <c r="C138" t="n">
        <v>12800000</v>
      </c>
      <c r="D138" t="n">
        <v>0</v>
      </c>
      <c r="E138">
        <f>IFERROR(LOOKUP(2^15,SEARCH(RULE_KATEGORI!$A$2:$A$100,B138),RULE_KATEGORI!$B$2:$B$100),"OPERASIONAL")</f>
        <v/>
      </c>
      <c r="G138" t="inlineStr">
        <is>
          <t>12</t>
        </is>
      </c>
      <c r="H138" t="inlineStr">
        <is>
          <t>2025</t>
        </is>
      </c>
    </row>
    <row r="139">
      <c r="A139" t="inlineStr">
        <is>
          <t>23/12</t>
        </is>
      </c>
      <c r="B139" t="inlineStr">
        <is>
          <t>TRSF E-BANKING CR</t>
        </is>
      </c>
      <c r="C139" t="n">
        <v>0</v>
      </c>
      <c r="D139" t="n">
        <v>7500000</v>
      </c>
      <c r="E139">
        <f>IFERROR(LOOKUP(2^15,SEARCH(RULE_KATEGORI!$A$2:$A$100,B139),RULE_KATEGORI!$B$2:$B$100),"OPERASIONAL")</f>
        <v/>
      </c>
      <c r="G139" t="inlineStr">
        <is>
          <t>12</t>
        </is>
      </c>
      <c r="H139" t="inlineStr">
        <is>
          <t>2025</t>
        </is>
      </c>
    </row>
    <row r="140">
      <c r="A140" t="inlineStr">
        <is>
          <t>23/12</t>
        </is>
      </c>
      <c r="B140" t="inlineStr">
        <is>
          <t>TRSF E-BANKING DB 2312/FTSCY/WS95271 580,000.00</t>
        </is>
      </c>
      <c r="C140" t="n">
        <v>0</v>
      </c>
      <c r="D140" t="n">
        <v>51989074</v>
      </c>
      <c r="E140">
        <f>IFERROR(LOOKUP(2^15,SEARCH(RULE_KATEGORI!$A$2:$A$100,B140),RULE_KATEGORI!$B$2:$B$100),"OPERASIONAL")</f>
        <v/>
      </c>
      <c r="G140" t="inlineStr">
        <is>
          <t>12</t>
        </is>
      </c>
      <c r="H140" t="inlineStr">
        <is>
          <t>2025</t>
        </is>
      </c>
    </row>
    <row r="141">
      <c r="A141" t="inlineStr">
        <is>
          <t>24/12</t>
        </is>
      </c>
      <c r="B141" t="inlineStr">
        <is>
          <t>BYR VIA E-BANKING 24/12 WSID9527100 103,000.00</t>
        </is>
      </c>
      <c r="C141" t="n">
        <v>0</v>
      </c>
      <c r="D141" t="n">
        <v>41689074</v>
      </c>
      <c r="E141">
        <f>IFERROR(LOOKUP(2^15,SEARCH(RULE_KATEGORI!$A$2:$A$100,B141),RULE_KATEGORI!$B$2:$B$100),"OPERASIONAL")</f>
        <v/>
      </c>
      <c r="G141" t="inlineStr">
        <is>
          <t>12</t>
        </is>
      </c>
      <c r="H141" t="inlineStr">
        <is>
          <t>2025</t>
        </is>
      </c>
    </row>
    <row r="142">
      <c r="A142" t="inlineStr">
        <is>
          <t>24/12</t>
        </is>
      </c>
      <c r="B142" t="inlineStr">
        <is>
          <t>BI-FAST CR BIF TRANSFER DR</t>
        </is>
      </c>
      <c r="C142" t="inlineStr">
        <is>
          <t>5000000</t>
        </is>
      </c>
      <c r="D142" t="inlineStr">
        <is>
          <t>46689074</t>
        </is>
      </c>
      <c r="E142">
        <f>IFERROR(LOOKUP(2^15,SEARCH(RULE_KATEGORI!$A$2:$A$100,B142),RULE_KATEGORI!$B$2:$B$100),"OPERASIONAL")</f>
        <v/>
      </c>
      <c r="G142" t="inlineStr">
        <is>
          <t>12</t>
        </is>
      </c>
      <c r="H142" t="inlineStr">
        <is>
          <t>2025</t>
        </is>
      </c>
    </row>
    <row r="143">
      <c r="A143" t="inlineStr">
        <is>
          <t>24/12</t>
        </is>
      </c>
      <c r="B143" t="inlineStr">
        <is>
          <t>TRSF E-BANKING DB 2412/FTSCY/WS95271</t>
        </is>
      </c>
      <c r="C143" t="n">
        <v>20000000</v>
      </c>
      <c r="D143" t="n">
        <v>0</v>
      </c>
      <c r="E143">
        <f>IFERROR(LOOKUP(2^15,SEARCH(RULE_KATEGORI!$A$2:$A$100,B143),RULE_KATEGORI!$B$2:$B$100),"OPERASIONAL")</f>
        <v/>
      </c>
      <c r="G143" t="inlineStr">
        <is>
          <t>12</t>
        </is>
      </c>
      <c r="H143" t="inlineStr">
        <is>
          <t>2025</t>
        </is>
      </c>
    </row>
    <row r="144">
      <c r="A144" t="inlineStr">
        <is>
          <t>24/12</t>
        </is>
      </c>
      <c r="B144" t="inlineStr">
        <is>
          <t>TRSF E-BANKING CR 2412/FTSCY/WS95031</t>
        </is>
      </c>
      <c r="C144" t="inlineStr">
        <is>
          <t>15000000</t>
        </is>
      </c>
      <c r="D144" t="inlineStr">
        <is>
          <t>41689074</t>
        </is>
      </c>
      <c r="E144">
        <f>IFERROR(LOOKUP(2^15,SEARCH(RULE_KATEGORI!$A$2:$A$100,B144),RULE_KATEGORI!$B$2:$B$100),"OPERASIONAL")</f>
        <v/>
      </c>
      <c r="G144" t="inlineStr">
        <is>
          <t>12</t>
        </is>
      </c>
      <c r="H144" t="inlineStr">
        <is>
          <t>2025</t>
        </is>
      </c>
    </row>
    <row r="145">
      <c r="A145" t="inlineStr">
        <is>
          <t>25/12</t>
        </is>
      </c>
      <c r="B145" t="inlineStr">
        <is>
          <t>TRSF E-BANKING DB 2512/FTSCY/WS95271</t>
        </is>
      </c>
      <c r="C145" t="n">
        <v>20000000</v>
      </c>
      <c r="D145" t="n">
        <v>0</v>
      </c>
      <c r="E145">
        <f>IFERROR(LOOKUP(2^15,SEARCH(RULE_KATEGORI!$A$2:$A$100,B145),RULE_KATEGORI!$B$2:$B$100),"OPERASIONAL")</f>
        <v/>
      </c>
      <c r="G145" t="inlineStr">
        <is>
          <t>12</t>
        </is>
      </c>
      <c r="H145" t="inlineStr">
        <is>
          <t>2025</t>
        </is>
      </c>
    </row>
    <row r="146">
      <c r="A146" t="inlineStr">
        <is>
          <t>25/12</t>
        </is>
      </c>
      <c r="B146" t="inlineStr">
        <is>
          <t>TRANSAKSI DEBIT TGL: 25/12</t>
        </is>
      </c>
      <c r="C146" t="n">
        <v>3280000</v>
      </c>
      <c r="D146" t="n">
        <v>0</v>
      </c>
      <c r="E146">
        <f>IFERROR(LOOKUP(2^15,SEARCH(RULE_KATEGORI!$A$2:$A$100,B146),RULE_KATEGORI!$B$2:$B$100),"OPERASIONAL")</f>
        <v/>
      </c>
      <c r="G146" t="inlineStr">
        <is>
          <t>12</t>
        </is>
      </c>
      <c r="H146" t="inlineStr">
        <is>
          <t>2025</t>
        </is>
      </c>
    </row>
    <row r="147">
      <c r="A147" t="inlineStr">
        <is>
          <t>25/12</t>
        </is>
      </c>
      <c r="B147" t="inlineStr">
        <is>
          <t>TRSF E-BANKING CR</t>
        </is>
      </c>
      <c r="C147" t="n">
        <v>0</v>
      </c>
      <c r="D147" t="n">
        <v>38000000</v>
      </c>
      <c r="E147">
        <f>IFERROR(LOOKUP(2^15,SEARCH(RULE_KATEGORI!$A$2:$A$100,B147),RULE_KATEGORI!$B$2:$B$100),"OPERASIONAL")</f>
        <v/>
      </c>
      <c r="G147" t="inlineStr">
        <is>
          <t>12</t>
        </is>
      </c>
      <c r="H147" t="inlineStr">
        <is>
          <t>2025</t>
        </is>
      </c>
    </row>
    <row r="148">
      <c r="A148" t="inlineStr">
        <is>
          <t>25/12</t>
        </is>
      </c>
      <c r="B148" t="inlineStr">
        <is>
          <t>TRSF E-BANKING DB 2512/FTSCY/WS95271 500,000.00</t>
        </is>
      </c>
      <c r="C148" t="n">
        <v>0</v>
      </c>
      <c r="D148" t="n">
        <v>6409074</v>
      </c>
      <c r="E148">
        <f>IFERROR(LOOKUP(2^15,SEARCH(RULE_KATEGORI!$A$2:$A$100,B148),RULE_KATEGORI!$B$2:$B$100),"OPERASIONAL")</f>
        <v/>
      </c>
      <c r="G148" t="inlineStr">
        <is>
          <t>12</t>
        </is>
      </c>
      <c r="H148" t="inlineStr">
        <is>
          <t>2025</t>
        </is>
      </c>
    </row>
    <row r="149">
      <c r="A149" t="inlineStr">
        <is>
          <t>26/12</t>
        </is>
      </c>
      <c r="B149" t="inlineStr">
        <is>
          <t>BI-FAST CR BIF TRANSFER</t>
        </is>
      </c>
      <c r="C149" t="n">
        <v>0</v>
      </c>
      <c r="D149" t="n">
        <v>1300000000</v>
      </c>
      <c r="E149">
        <f>IFERROR(LOOKUP(2^15,SEARCH(RULE_KATEGORI!$A$2:$A$100,B149),RULE_KATEGORI!$B$2:$B$100),"OPERASIONAL")</f>
        <v/>
      </c>
      <c r="G149" t="inlineStr">
        <is>
          <t>12</t>
        </is>
      </c>
      <c r="H149" t="inlineStr">
        <is>
          <t>2025</t>
        </is>
      </c>
    </row>
    <row r="150">
      <c r="A150" t="inlineStr">
        <is>
          <t>26/12</t>
        </is>
      </c>
      <c r="B150" t="inlineStr">
        <is>
          <t>TARIKAN ATM 26/12</t>
        </is>
      </c>
      <c r="C150" t="n">
        <v>10000000</v>
      </c>
      <c r="D150" t="n">
        <v>0</v>
      </c>
      <c r="E150">
        <f>IFERROR(LOOKUP(2^15,SEARCH(RULE_KATEGORI!$A$2:$A$100,B150),RULE_KATEGORI!$B$2:$B$100),"OPERASIONAL")</f>
        <v/>
      </c>
      <c r="G150" t="inlineStr">
        <is>
          <t>12</t>
        </is>
      </c>
      <c r="H150" t="inlineStr">
        <is>
          <t>2025</t>
        </is>
      </c>
    </row>
    <row r="151">
      <c r="A151" t="inlineStr">
        <is>
          <t>26/12</t>
        </is>
      </c>
      <c r="B151" t="inlineStr">
        <is>
          <t>TRANSAKSI DEBIT TGL: 26/12</t>
        </is>
      </c>
      <c r="C151" t="n">
        <v>2400000</v>
      </c>
      <c r="D151" t="n">
        <v>0</v>
      </c>
      <c r="E151">
        <f>IFERROR(LOOKUP(2^15,SEARCH(RULE_KATEGORI!$A$2:$A$100,B151),RULE_KATEGORI!$B$2:$B$100),"OPERASIONAL")</f>
        <v/>
      </c>
      <c r="G151" t="inlineStr">
        <is>
          <t>12</t>
        </is>
      </c>
      <c r="H151" t="inlineStr">
        <is>
          <t>2025</t>
        </is>
      </c>
    </row>
    <row r="152">
      <c r="A152" t="inlineStr">
        <is>
          <t>26/12</t>
        </is>
      </c>
      <c r="B152" t="inlineStr">
        <is>
          <t>TRANSAKSI DEBIT TGL: 26/12</t>
        </is>
      </c>
      <c r="C152" t="n">
        <v>2550000</v>
      </c>
      <c r="D152" t="n">
        <v>0</v>
      </c>
      <c r="E152">
        <f>IFERROR(LOOKUP(2^15,SEARCH(RULE_KATEGORI!$A$2:$A$100,B152),RULE_KATEGORI!$B$2:$B$100),"OPERASIONAL")</f>
        <v/>
      </c>
      <c r="G152" t="inlineStr">
        <is>
          <t>12</t>
        </is>
      </c>
      <c r="H152" t="inlineStr">
        <is>
          <t>2025</t>
        </is>
      </c>
    </row>
    <row r="153">
      <c r="A153" t="inlineStr">
        <is>
          <t>26/12</t>
        </is>
      </c>
      <c r="B153" t="inlineStr">
        <is>
          <t>TRANSAKSI DEBIT TGL: 26/12</t>
        </is>
      </c>
      <c r="C153" t="n">
        <v>6000000</v>
      </c>
      <c r="D153" t="n">
        <v>0</v>
      </c>
      <c r="E153">
        <f>IFERROR(LOOKUP(2^15,SEARCH(RULE_KATEGORI!$A$2:$A$100,B153),RULE_KATEGORI!$B$2:$B$100),"OPERASIONAL")</f>
        <v/>
      </c>
      <c r="G153" t="inlineStr">
        <is>
          <t>12</t>
        </is>
      </c>
      <c r="H153" t="inlineStr">
        <is>
          <t>2025</t>
        </is>
      </c>
    </row>
    <row r="154">
      <c r="A154" t="inlineStr">
        <is>
          <t>26/12</t>
        </is>
      </c>
      <c r="B154" t="inlineStr">
        <is>
          <t>TRSF E-BANKING DB 2612/FTFVA/WS95271 190,000.00</t>
        </is>
      </c>
      <c r="C154" t="n">
        <v>0</v>
      </c>
      <c r="D154" t="n">
        <v>1266459074</v>
      </c>
      <c r="E154">
        <f>IFERROR(LOOKUP(2^15,SEARCH(RULE_KATEGORI!$A$2:$A$100,B154),RULE_KATEGORI!$B$2:$B$100),"OPERASIONAL")</f>
        <v/>
      </c>
      <c r="G154" t="inlineStr">
        <is>
          <t>12</t>
        </is>
      </c>
      <c r="H154" t="inlineStr">
        <is>
          <t>2025</t>
        </is>
      </c>
    </row>
    <row r="155">
      <c r="A155" t="inlineStr">
        <is>
          <t>26/12</t>
        </is>
      </c>
      <c r="B155" t="inlineStr">
        <is>
          <t>SWITCHING WITHDRAWAL DI ALTO 100,000.00</t>
        </is>
      </c>
      <c r="C155" t="n">
        <v>0</v>
      </c>
      <c r="D155" t="n">
        <v>1256459074</v>
      </c>
      <c r="E155">
        <f>IFERROR(LOOKUP(2^15,SEARCH(RULE_KATEGORI!$A$2:$A$100,B155),RULE_KATEGORI!$B$2:$B$100),"OPERASIONAL")</f>
        <v/>
      </c>
      <c r="G155" t="inlineStr">
        <is>
          <t>12</t>
        </is>
      </c>
      <c r="H155" t="inlineStr">
        <is>
          <t>2025</t>
        </is>
      </c>
    </row>
    <row r="156">
      <c r="A156" t="inlineStr">
        <is>
          <t>26/12</t>
        </is>
      </c>
      <c r="B156" t="inlineStr">
        <is>
          <t>SWITCHING BIAYA TXN DI ALTO 7,500.00</t>
        </is>
      </c>
      <c r="C156" t="n">
        <v>0</v>
      </c>
      <c r="D156" t="n">
        <v>1255709074</v>
      </c>
      <c r="E156">
        <f>IFERROR(LOOKUP(2^15,SEARCH(RULE_KATEGORI!$A$2:$A$100,B156),RULE_KATEGORI!$B$2:$B$100),"OPERASIONAL")</f>
        <v/>
      </c>
      <c r="G156" t="inlineStr">
        <is>
          <t>12</t>
        </is>
      </c>
      <c r="H156" t="inlineStr">
        <is>
          <t>2025</t>
        </is>
      </c>
    </row>
    <row r="157">
      <c r="A157" t="inlineStr">
        <is>
          <t>27/12</t>
        </is>
      </c>
      <c r="B157" t="inlineStr">
        <is>
          <t>TRSF E-BANKING DB 2712/FTFVA/WS95271</t>
        </is>
      </c>
      <c r="C157" t="n">
        <v>53809000</v>
      </c>
      <c r="D157" t="n">
        <v>0</v>
      </c>
      <c r="E157">
        <f>IFERROR(LOOKUP(2^15,SEARCH(RULE_KATEGORI!$A$2:$A$100,B157),RULE_KATEGORI!$B$2:$B$100),"OPERASIONAL")</f>
        <v/>
      </c>
      <c r="G157" t="inlineStr">
        <is>
          <t>12</t>
        </is>
      </c>
      <c r="H157" t="inlineStr">
        <is>
          <t>2025</t>
        </is>
      </c>
    </row>
    <row r="158">
      <c r="A158" t="inlineStr">
        <is>
          <t>27/12</t>
        </is>
      </c>
      <c r="B158" t="inlineStr">
        <is>
          <t>BI-FAST DB BIF TRANSFER KE</t>
        </is>
      </c>
      <c r="C158" t="n">
        <v>200000000</v>
      </c>
      <c r="D158" t="n">
        <v>0</v>
      </c>
      <c r="E158">
        <f>IFERROR(LOOKUP(2^15,SEARCH(RULE_KATEGORI!$A$2:$A$100,B158),RULE_KATEGORI!$B$2:$B$100),"OPERASIONAL")</f>
        <v/>
      </c>
      <c r="G158" t="inlineStr">
        <is>
          <t>12</t>
        </is>
      </c>
      <c r="H158" t="inlineStr">
        <is>
          <t>2025</t>
        </is>
      </c>
    </row>
    <row r="159">
      <c r="A159" t="inlineStr">
        <is>
          <t>27/12</t>
        </is>
      </c>
      <c r="B159" t="inlineStr">
        <is>
          <t>BI-FAST DB BIF BIAYA TXN KE</t>
        </is>
      </c>
      <c r="C159" t="n">
        <v>250000</v>
      </c>
      <c r="D159" t="n">
        <v>0</v>
      </c>
      <c r="E159">
        <f>IFERROR(LOOKUP(2^15,SEARCH(RULE_KATEGORI!$A$2:$A$100,B159),RULE_KATEGORI!$B$2:$B$100),"OPERASIONAL")</f>
        <v/>
      </c>
      <c r="G159" t="inlineStr">
        <is>
          <t>12</t>
        </is>
      </c>
      <c r="H159" t="inlineStr">
        <is>
          <t>2025</t>
        </is>
      </c>
    </row>
    <row r="160">
      <c r="A160" t="inlineStr">
        <is>
          <t>27/12</t>
        </is>
      </c>
      <c r="B160" t="inlineStr">
        <is>
          <t>BI-FAST DB BIF TRANSFER KE</t>
        </is>
      </c>
      <c r="C160" t="n">
        <v>7000000</v>
      </c>
      <c r="D160" t="n">
        <v>0</v>
      </c>
      <c r="E160">
        <f>IFERROR(LOOKUP(2^15,SEARCH(RULE_KATEGORI!$A$2:$A$100,B160),RULE_KATEGORI!$B$2:$B$100),"OPERASIONAL")</f>
        <v/>
      </c>
      <c r="G160" t="inlineStr">
        <is>
          <t>12</t>
        </is>
      </c>
      <c r="H160" t="inlineStr">
        <is>
          <t>2025</t>
        </is>
      </c>
    </row>
    <row r="161">
      <c r="A161" t="inlineStr">
        <is>
          <t>27/12</t>
        </is>
      </c>
      <c r="B161" t="inlineStr">
        <is>
          <t>BI-FAST DB BIF BIAYA TXN KE</t>
        </is>
      </c>
      <c r="C161" t="n">
        <v>250000</v>
      </c>
      <c r="D161" t="n">
        <v>0</v>
      </c>
      <c r="E161">
        <f>IFERROR(LOOKUP(2^15,SEARCH(RULE_KATEGORI!$A$2:$A$100,B161),RULE_KATEGORI!$B$2:$B$100),"OPERASIONAL")</f>
        <v/>
      </c>
      <c r="G161" t="inlineStr">
        <is>
          <t>12</t>
        </is>
      </c>
      <c r="H161" t="inlineStr">
        <is>
          <t>2025</t>
        </is>
      </c>
    </row>
    <row r="162">
      <c r="A162" t="inlineStr">
        <is>
          <t>27/12</t>
        </is>
      </c>
      <c r="B162" t="inlineStr">
        <is>
          <t>TARIKAN ATM 27/12</t>
        </is>
      </c>
      <c r="C162" t="n">
        <v>10000000</v>
      </c>
      <c r="D162" t="n">
        <v>0</v>
      </c>
      <c r="E162">
        <f>IFERROR(LOOKUP(2^15,SEARCH(RULE_KATEGORI!$A$2:$A$100,B162),RULE_KATEGORI!$B$2:$B$100),"OPERASIONAL")</f>
        <v/>
      </c>
      <c r="G162" t="inlineStr">
        <is>
          <t>12</t>
        </is>
      </c>
      <c r="H162" t="inlineStr">
        <is>
          <t>2025</t>
        </is>
      </c>
    </row>
    <row r="163">
      <c r="A163" t="inlineStr">
        <is>
          <t>27/12</t>
        </is>
      </c>
      <c r="B163" t="inlineStr">
        <is>
          <t>TRSF E-BANKING CR</t>
        </is>
      </c>
      <c r="C163" t="n">
        <v>0</v>
      </c>
      <c r="D163" t="n">
        <v>7500000</v>
      </c>
      <c r="E163">
        <f>IFERROR(LOOKUP(2^15,SEARCH(RULE_KATEGORI!$A$2:$A$100,B163),RULE_KATEGORI!$B$2:$B$100),"OPERASIONAL")</f>
        <v/>
      </c>
      <c r="G163" t="inlineStr">
        <is>
          <t>12</t>
        </is>
      </c>
      <c r="H163" t="inlineStr">
        <is>
          <t>2025</t>
        </is>
      </c>
    </row>
    <row r="164">
      <c r="A164" t="inlineStr">
        <is>
          <t>27/12</t>
        </is>
      </c>
      <c r="B164" t="inlineStr">
        <is>
          <t>DB DEBIT DOMESTIK TRN DEBIT DOM 008</t>
        </is>
      </c>
      <c r="C164" t="n">
        <v>5000000</v>
      </c>
      <c r="D164" t="n">
        <v>0</v>
      </c>
      <c r="E164">
        <f>IFERROR(LOOKUP(2^15,SEARCH(RULE_KATEGORI!$A$2:$A$100,B164),RULE_KATEGORI!$B$2:$B$100),"OPERASIONAL")</f>
        <v/>
      </c>
      <c r="G164" t="inlineStr">
        <is>
          <t>12</t>
        </is>
      </c>
      <c r="H164" t="inlineStr">
        <is>
          <t>2025</t>
        </is>
      </c>
    </row>
    <row r="165">
      <c r="A165" t="inlineStr">
        <is>
          <t>27/12</t>
        </is>
      </c>
      <c r="B165" t="inlineStr">
        <is>
          <t>TRSF E-BANKING DB 2712/FTFVA/WS95271 50,000.00</t>
        </is>
      </c>
      <c r="C165" t="n">
        <v>0</v>
      </c>
      <c r="D165" t="n">
        <v>981900074</v>
      </c>
      <c r="E165">
        <f>IFERROR(LOOKUP(2^15,SEARCH(RULE_KATEGORI!$A$2:$A$100,B165),RULE_KATEGORI!$B$2:$B$100),"OPERASIONAL")</f>
        <v/>
      </c>
      <c r="G165" t="inlineStr">
        <is>
          <t>12</t>
        </is>
      </c>
      <c r="H165" t="inlineStr">
        <is>
          <t>2025</t>
        </is>
      </c>
    </row>
    <row r="166">
      <c r="A166" t="inlineStr">
        <is>
          <t>27/12</t>
        </is>
      </c>
      <c r="B166" t="inlineStr">
        <is>
          <t>TRANSAKSI DEBIT TGL: 27/12 14,600.00</t>
        </is>
      </c>
      <c r="C166" t="n">
        <v>0</v>
      </c>
      <c r="D166" t="n">
        <v>980440074</v>
      </c>
      <c r="E166">
        <f>IFERROR(LOOKUP(2^15,SEARCH(RULE_KATEGORI!$A$2:$A$100,B166),RULE_KATEGORI!$B$2:$B$100),"OPERASIONAL")</f>
        <v/>
      </c>
      <c r="G166" t="inlineStr">
        <is>
          <t>12</t>
        </is>
      </c>
      <c r="H166" t="inlineStr">
        <is>
          <t>2025</t>
        </is>
      </c>
    </row>
    <row r="167">
      <c r="A167" t="inlineStr">
        <is>
          <t>28/12</t>
        </is>
      </c>
      <c r="B167" t="inlineStr">
        <is>
          <t>TRANSAKSI DEBIT TGL: 27/12</t>
        </is>
      </c>
      <c r="C167" t="n">
        <v>15100000</v>
      </c>
      <c r="D167" t="n">
        <v>0</v>
      </c>
      <c r="E167">
        <f>IFERROR(LOOKUP(2^15,SEARCH(RULE_KATEGORI!$A$2:$A$100,B167),RULE_KATEGORI!$B$2:$B$100),"OPERASIONAL")</f>
        <v/>
      </c>
      <c r="G167" t="inlineStr">
        <is>
          <t>12</t>
        </is>
      </c>
      <c r="H167" t="inlineStr">
        <is>
          <t>2025</t>
        </is>
      </c>
    </row>
    <row r="168">
      <c r="A168" t="inlineStr">
        <is>
          <t>28/12</t>
        </is>
      </c>
      <c r="B168" t="inlineStr">
        <is>
          <t>TRSF E-BANKING DB 2812/FTSCY/WS95271</t>
        </is>
      </c>
      <c r="C168" t="n">
        <v>5100000</v>
      </c>
      <c r="D168" t="n">
        <v>0</v>
      </c>
      <c r="E168">
        <f>IFERROR(LOOKUP(2^15,SEARCH(RULE_KATEGORI!$A$2:$A$100,B168),RULE_KATEGORI!$B$2:$B$100),"OPERASIONAL")</f>
        <v/>
      </c>
      <c r="G168" t="inlineStr">
        <is>
          <t>12</t>
        </is>
      </c>
      <c r="H168" t="inlineStr">
        <is>
          <t>2025</t>
        </is>
      </c>
    </row>
    <row r="169">
      <c r="A169" t="inlineStr">
        <is>
          <t>28/12</t>
        </is>
      </c>
      <c r="B169" t="inlineStr">
        <is>
          <t>TRSF E-BANKING DB 2812/FTSCY/WS95271</t>
        </is>
      </c>
      <c r="C169" t="n">
        <v>3500000</v>
      </c>
      <c r="D169" t="n">
        <v>0</v>
      </c>
      <c r="E169">
        <f>IFERROR(LOOKUP(2^15,SEARCH(RULE_KATEGORI!$A$2:$A$100,B169),RULE_KATEGORI!$B$2:$B$100),"OPERASIONAL")</f>
        <v/>
      </c>
      <c r="G169" t="inlineStr">
        <is>
          <t>12</t>
        </is>
      </c>
      <c r="H169" t="inlineStr">
        <is>
          <t>2025</t>
        </is>
      </c>
    </row>
    <row r="170">
      <c r="A170" t="inlineStr">
        <is>
          <t>28/12</t>
        </is>
      </c>
      <c r="B170" t="inlineStr">
        <is>
          <t>TRSF E-BANKING DB 2812/FTSCY/WS95271</t>
        </is>
      </c>
      <c r="C170" t="n">
        <v>50000000</v>
      </c>
      <c r="D170" t="n">
        <v>0</v>
      </c>
      <c r="E170">
        <f>IFERROR(LOOKUP(2^15,SEARCH(RULE_KATEGORI!$A$2:$A$100,B170),RULE_KATEGORI!$B$2:$B$100),"OPERASIONAL")</f>
        <v/>
      </c>
      <c r="G170" t="inlineStr">
        <is>
          <t>12</t>
        </is>
      </c>
      <c r="H170" t="inlineStr">
        <is>
          <t>2025</t>
        </is>
      </c>
    </row>
    <row r="171">
      <c r="A171" t="inlineStr">
        <is>
          <t>28/12</t>
        </is>
      </c>
      <c r="B171" t="inlineStr">
        <is>
          <t>TRSF E-BANKING DB 2812/FTSCY/WS95271</t>
        </is>
      </c>
      <c r="C171" t="n">
        <v>48000000</v>
      </c>
      <c r="D171" t="n">
        <v>0</v>
      </c>
      <c r="E171">
        <f>IFERROR(LOOKUP(2^15,SEARCH(RULE_KATEGORI!$A$2:$A$100,B171),RULE_KATEGORI!$B$2:$B$100),"OPERASIONAL")</f>
        <v/>
      </c>
      <c r="G171" t="inlineStr">
        <is>
          <t>12</t>
        </is>
      </c>
      <c r="H171" t="inlineStr">
        <is>
          <t>2025</t>
        </is>
      </c>
    </row>
    <row r="172">
      <c r="A172" t="inlineStr">
        <is>
          <t>28/12</t>
        </is>
      </c>
      <c r="B172" t="inlineStr">
        <is>
          <t>TRANSAKSI DEBIT TGL: 28/12</t>
        </is>
      </c>
      <c r="C172" t="n">
        <v>6600000</v>
      </c>
      <c r="D172" t="n">
        <v>0</v>
      </c>
      <c r="E172">
        <f>IFERROR(LOOKUP(2^15,SEARCH(RULE_KATEGORI!$A$2:$A$100,B172),RULE_KATEGORI!$B$2:$B$100),"OPERASIONAL")</f>
        <v/>
      </c>
      <c r="G172" t="inlineStr">
        <is>
          <t>12</t>
        </is>
      </c>
      <c r="H172" t="inlineStr">
        <is>
          <t>2025</t>
        </is>
      </c>
    </row>
    <row r="173">
      <c r="A173" t="inlineStr">
        <is>
          <t>28/12</t>
        </is>
      </c>
      <c r="B173" t="inlineStr">
        <is>
          <t>BI-FAST DB BIF TRANSFER KE</t>
        </is>
      </c>
      <c r="C173" t="n">
        <v>6000000</v>
      </c>
      <c r="D173" t="n">
        <v>0</v>
      </c>
      <c r="E173">
        <f>IFERROR(LOOKUP(2^15,SEARCH(RULE_KATEGORI!$A$2:$A$100,B173),RULE_KATEGORI!$B$2:$B$100),"OPERASIONAL")</f>
        <v/>
      </c>
      <c r="G173" t="inlineStr">
        <is>
          <t>12</t>
        </is>
      </c>
      <c r="H173" t="inlineStr">
        <is>
          <t>2025</t>
        </is>
      </c>
    </row>
    <row r="174">
      <c r="A174" t="inlineStr">
        <is>
          <t>28/12</t>
        </is>
      </c>
      <c r="B174" t="inlineStr">
        <is>
          <t>BI-FAST DB BIF BIAYA TXN KE</t>
        </is>
      </c>
      <c r="C174" t="n">
        <v>250000</v>
      </c>
      <c r="D174" t="n">
        <v>0</v>
      </c>
      <c r="E174">
        <f>IFERROR(LOOKUP(2^15,SEARCH(RULE_KATEGORI!$A$2:$A$100,B174),RULE_KATEGORI!$B$2:$B$100),"OPERASIONAL")</f>
        <v/>
      </c>
      <c r="G174" t="inlineStr">
        <is>
          <t>12</t>
        </is>
      </c>
      <c r="H174" t="inlineStr">
        <is>
          <t>2025</t>
        </is>
      </c>
    </row>
    <row r="175">
      <c r="A175" t="inlineStr">
        <is>
          <t>28/12</t>
        </is>
      </c>
      <c r="B175" t="inlineStr">
        <is>
          <t>TRSF E-BANKING CR</t>
        </is>
      </c>
      <c r="C175" t="n">
        <v>0</v>
      </c>
      <c r="D175" t="n">
        <v>42500000</v>
      </c>
      <c r="E175">
        <f>IFERROR(LOOKUP(2^15,SEARCH(RULE_KATEGORI!$A$2:$A$100,B175),RULE_KATEGORI!$B$2:$B$100),"OPERASIONAL")</f>
        <v/>
      </c>
      <c r="G175" t="inlineStr">
        <is>
          <t>12</t>
        </is>
      </c>
      <c r="H175" t="inlineStr">
        <is>
          <t>2025</t>
        </is>
      </c>
    </row>
    <row r="176">
      <c r="A176" t="inlineStr">
        <is>
          <t>28/12</t>
        </is>
      </c>
      <c r="B176" t="inlineStr">
        <is>
          <t>TRSF E-BANKING DB 2812/FTFVA/WS95271 50,000.00</t>
        </is>
      </c>
      <c r="C176" t="n">
        <v>0</v>
      </c>
      <c r="D176" t="n">
        <v>883390074</v>
      </c>
      <c r="E176">
        <f>IFERROR(LOOKUP(2^15,SEARCH(RULE_KATEGORI!$A$2:$A$100,B176),RULE_KATEGORI!$B$2:$B$100),"OPERASIONAL")</f>
        <v/>
      </c>
      <c r="G176" t="inlineStr">
        <is>
          <t>12</t>
        </is>
      </c>
      <c r="H176" t="inlineStr">
        <is>
          <t>2025</t>
        </is>
      </c>
    </row>
    <row r="177">
      <c r="A177" t="inlineStr">
        <is>
          <t>28/12</t>
        </is>
      </c>
      <c r="B177" t="inlineStr">
        <is>
          <t>TRSF E-BANKING DB 2812/FTSCY/WS95271 390,000.00</t>
        </is>
      </c>
      <c r="C177" t="n">
        <v>0</v>
      </c>
      <c r="D177" t="n">
        <v>844390074</v>
      </c>
      <c r="E177">
        <f>IFERROR(LOOKUP(2^15,SEARCH(RULE_KATEGORI!$A$2:$A$100,B177),RULE_KATEGORI!$B$2:$B$100),"OPERASIONAL")</f>
        <v/>
      </c>
      <c r="G177" t="inlineStr">
        <is>
          <t>12</t>
        </is>
      </c>
      <c r="H177" t="inlineStr">
        <is>
          <t>2025</t>
        </is>
      </c>
    </row>
    <row r="178">
      <c r="A178" t="inlineStr">
        <is>
          <t>28/12</t>
        </is>
      </c>
      <c r="B178" t="inlineStr">
        <is>
          <t>TRANSAKSI DEBIT TGL: 28/12 218,500.00</t>
        </is>
      </c>
      <c r="C178" t="n">
        <v>0</v>
      </c>
      <c r="D178" t="n">
        <v>822540074</v>
      </c>
      <c r="E178">
        <f>IFERROR(LOOKUP(2^15,SEARCH(RULE_KATEGORI!$A$2:$A$100,B178),RULE_KATEGORI!$B$2:$B$100),"OPERASIONAL")</f>
        <v/>
      </c>
      <c r="G178" t="inlineStr">
        <is>
          <t>12</t>
        </is>
      </c>
      <c r="H178" t="inlineStr">
        <is>
          <t>2025</t>
        </is>
      </c>
    </row>
    <row r="179">
      <c r="A179" t="inlineStr">
        <is>
          <t>29/12</t>
        </is>
      </c>
      <c r="B179" t="inlineStr">
        <is>
          <t>BYR VIA E-BANKING 29/12 WSID9527100</t>
        </is>
      </c>
      <c r="C179" t="n">
        <v>10300000</v>
      </c>
      <c r="D179" t="n">
        <v>0</v>
      </c>
      <c r="E179">
        <f>IFERROR(LOOKUP(2^15,SEARCH(RULE_KATEGORI!$A$2:$A$100,B179),RULE_KATEGORI!$B$2:$B$100),"OPERASIONAL")</f>
        <v/>
      </c>
      <c r="G179" t="inlineStr">
        <is>
          <t>12</t>
        </is>
      </c>
      <c r="H179" t="inlineStr">
        <is>
          <t>2025</t>
        </is>
      </c>
    </row>
    <row r="180">
      <c r="A180" t="inlineStr">
        <is>
          <t>29/12</t>
        </is>
      </c>
      <c r="B180" t="inlineStr">
        <is>
          <t>TRSF E-BANKING DB 2912/FTSCY/WS95271</t>
        </is>
      </c>
      <c r="C180" t="n">
        <v>50000000</v>
      </c>
      <c r="D180" t="n">
        <v>0</v>
      </c>
      <c r="E180">
        <f>IFERROR(LOOKUP(2^15,SEARCH(RULE_KATEGORI!$A$2:$A$100,B180),RULE_KATEGORI!$B$2:$B$100),"OPERASIONAL")</f>
        <v/>
      </c>
      <c r="G180" t="inlineStr">
        <is>
          <t>12</t>
        </is>
      </c>
      <c r="H180" t="inlineStr">
        <is>
          <t>2025</t>
        </is>
      </c>
    </row>
    <row r="181">
      <c r="A181" t="inlineStr">
        <is>
          <t>29/12</t>
        </is>
      </c>
      <c r="B181" t="inlineStr">
        <is>
          <t>TRSF E-BANKING DB 2912/FTSCY/WS95271</t>
        </is>
      </c>
      <c r="C181" t="n">
        <v>5500000</v>
      </c>
      <c r="D181" t="n">
        <v>0</v>
      </c>
      <c r="E181">
        <f>IFERROR(LOOKUP(2^15,SEARCH(RULE_KATEGORI!$A$2:$A$100,B181),RULE_KATEGORI!$B$2:$B$100),"OPERASIONAL")</f>
        <v/>
      </c>
      <c r="G181" t="inlineStr">
        <is>
          <t>12</t>
        </is>
      </c>
      <c r="H181" t="inlineStr">
        <is>
          <t>2025</t>
        </is>
      </c>
    </row>
    <row r="182">
      <c r="A182" t="inlineStr">
        <is>
          <t>29/12</t>
        </is>
      </c>
      <c r="B182" t="inlineStr">
        <is>
          <t>TRANSAKSI DEBIT TGL: 29/12</t>
        </is>
      </c>
      <c r="C182" t="n">
        <v>2900000</v>
      </c>
      <c r="D182" t="n">
        <v>0</v>
      </c>
      <c r="E182">
        <f>IFERROR(LOOKUP(2^15,SEARCH(RULE_KATEGORI!$A$2:$A$100,B182),RULE_KATEGORI!$B$2:$B$100),"OPERASIONAL")</f>
        <v/>
      </c>
      <c r="G182" t="inlineStr">
        <is>
          <t>12</t>
        </is>
      </c>
      <c r="H182" t="inlineStr">
        <is>
          <t>2025</t>
        </is>
      </c>
    </row>
    <row r="183">
      <c r="A183" t="inlineStr">
        <is>
          <t>29/12</t>
        </is>
      </c>
      <c r="B183" t="inlineStr">
        <is>
          <t>TRSF E-BANKING DB 2912/FTFVA/WS95271 20,500.00</t>
        </is>
      </c>
      <c r="C183" t="n">
        <v>0</v>
      </c>
      <c r="D183" t="n">
        <v>751790074</v>
      </c>
      <c r="E183">
        <f>IFERROR(LOOKUP(2^15,SEARCH(RULE_KATEGORI!$A$2:$A$100,B183),RULE_KATEGORI!$B$2:$B$100),"OPERASIONAL")</f>
        <v/>
      </c>
      <c r="G183" t="inlineStr">
        <is>
          <t>12</t>
        </is>
      </c>
      <c r="H183" t="inlineStr">
        <is>
          <t>2025</t>
        </is>
      </c>
    </row>
    <row r="184">
      <c r="A184" t="inlineStr">
        <is>
          <t>30/12</t>
        </is>
      </c>
      <c r="B184" t="inlineStr">
        <is>
          <t>BIAYA KARTU ATM BIAYA KARTU ATM 0473</t>
        </is>
      </c>
      <c r="C184" t="n">
        <v>2000000</v>
      </c>
      <c r="D184" t="n">
        <v>0</v>
      </c>
      <c r="E184">
        <f>IFERROR(LOOKUP(2^15,SEARCH(RULE_KATEGORI!$A$2:$A$100,B184),RULE_KATEGORI!$B$2:$B$100),"OPERASIONAL")</f>
        <v/>
      </c>
      <c r="G184" t="inlineStr">
        <is>
          <t>12</t>
        </is>
      </c>
      <c r="H184" t="inlineStr">
        <is>
          <t>2025</t>
        </is>
      </c>
    </row>
    <row r="185">
      <c r="A185" t="inlineStr">
        <is>
          <t>30/12</t>
        </is>
      </c>
      <c r="B185" t="inlineStr">
        <is>
          <t>TRANSAKSI DEBIT TGL: 30/12</t>
        </is>
      </c>
      <c r="C185" t="n">
        <v>9700000</v>
      </c>
      <c r="D185" t="n">
        <v>0</v>
      </c>
      <c r="E185">
        <f>IFERROR(LOOKUP(2^15,SEARCH(RULE_KATEGORI!$A$2:$A$100,B185),RULE_KATEGORI!$B$2:$B$100),"OPERASIONAL")</f>
        <v/>
      </c>
      <c r="G185" t="inlineStr">
        <is>
          <t>12</t>
        </is>
      </c>
      <c r="H185" t="inlineStr">
        <is>
          <t>2025</t>
        </is>
      </c>
    </row>
    <row r="186">
      <c r="A186" t="inlineStr">
        <is>
          <t>30/12</t>
        </is>
      </c>
      <c r="B186" t="inlineStr">
        <is>
          <t>TRANSAKSI DEBIT TGL: 30/12</t>
        </is>
      </c>
      <c r="C186" t="n">
        <v>2700000</v>
      </c>
      <c r="D186" t="n">
        <v>0</v>
      </c>
      <c r="E186">
        <f>IFERROR(LOOKUP(2^15,SEARCH(RULE_KATEGORI!$A$2:$A$100,B186),RULE_KATEGORI!$B$2:$B$100),"OPERASIONAL")</f>
        <v/>
      </c>
      <c r="G186" t="inlineStr">
        <is>
          <t>12</t>
        </is>
      </c>
      <c r="H186" t="inlineStr">
        <is>
          <t>2025</t>
        </is>
      </c>
    </row>
    <row r="187">
      <c r="A187" t="inlineStr">
        <is>
          <t>30/12</t>
        </is>
      </c>
      <c r="B187" t="inlineStr">
        <is>
          <t>TRANSAKSI DEBIT TGL: 30/12</t>
        </is>
      </c>
      <c r="C187" t="n">
        <v>2000000</v>
      </c>
      <c r="D187" t="n">
        <v>0</v>
      </c>
      <c r="E187">
        <f>IFERROR(LOOKUP(2^15,SEARCH(RULE_KATEGORI!$A$2:$A$100,B187),RULE_KATEGORI!$B$2:$B$100),"OPERASIONAL")</f>
        <v/>
      </c>
      <c r="G187" t="inlineStr">
        <is>
          <t>12</t>
        </is>
      </c>
      <c r="H187" t="inlineStr">
        <is>
          <t>2025</t>
        </is>
      </c>
    </row>
    <row r="188">
      <c r="A188" t="inlineStr">
        <is>
          <t>30/12</t>
        </is>
      </c>
      <c r="B188" t="inlineStr">
        <is>
          <t>TRSF E-BANKING DB 3012/FTSCY/WS95271 20,000.00</t>
        </is>
      </c>
      <c r="C188" t="n">
        <v>0</v>
      </c>
      <c r="D188" t="n">
        <v>733390074</v>
      </c>
      <c r="E188">
        <f>IFERROR(LOOKUP(2^15,SEARCH(RULE_KATEGORI!$A$2:$A$100,B188),RULE_KATEGORI!$B$2:$B$100),"OPERASIONAL")</f>
        <v/>
      </c>
      <c r="G188" t="inlineStr">
        <is>
          <t>12</t>
        </is>
      </c>
      <c r="H188" t="inlineStr">
        <is>
          <t>2025</t>
        </is>
      </c>
    </row>
    <row r="189">
      <c r="A189" t="inlineStr">
        <is>
          <t>30/12</t>
        </is>
      </c>
      <c r="B189" t="inlineStr">
        <is>
          <t>TRSF E-BANKING DB 3012/FTSCY/WS95271 30,000.00</t>
        </is>
      </c>
      <c r="C189" t="n">
        <v>0</v>
      </c>
      <c r="D189" t="n">
        <v>730390074</v>
      </c>
      <c r="E189">
        <f>IFERROR(LOOKUP(2^15,SEARCH(RULE_KATEGORI!$A$2:$A$100,B189),RULE_KATEGORI!$B$2:$B$100),"OPERASIONAL")</f>
        <v/>
      </c>
      <c r="G189" t="inlineStr">
        <is>
          <t>12</t>
        </is>
      </c>
      <c r="H189" t="inlineStr">
        <is>
          <t>2025</t>
        </is>
      </c>
    </row>
    <row r="190">
      <c r="A190" t="inlineStr">
        <is>
          <t>30/12</t>
        </is>
      </c>
      <c r="B190" t="inlineStr">
        <is>
          <t>TRANSAKSI DEBIT TGL: 30/12</t>
        </is>
      </c>
      <c r="C190" t="n">
        <v>10300000</v>
      </c>
      <c r="D190" t="n">
        <v>0</v>
      </c>
      <c r="E190">
        <f>IFERROR(LOOKUP(2^15,SEARCH(RULE_KATEGORI!$A$2:$A$100,B190),RULE_KATEGORI!$B$2:$B$100),"OPERASIONAL")</f>
        <v/>
      </c>
      <c r="G190" t="inlineStr">
        <is>
          <t>12</t>
        </is>
      </c>
      <c r="H190" t="inlineStr">
        <is>
          <t>2025</t>
        </is>
      </c>
    </row>
    <row r="191">
      <c r="A191" t="inlineStr">
        <is>
          <t>30/12</t>
        </is>
      </c>
      <c r="B191" t="inlineStr">
        <is>
          <t>TRANSAKSI DEBIT TGL: 30/12</t>
        </is>
      </c>
      <c r="C191" t="n">
        <v>26200000</v>
      </c>
      <c r="D191" t="n">
        <v>0</v>
      </c>
      <c r="E191">
        <f>IFERROR(LOOKUP(2^15,SEARCH(RULE_KATEGORI!$A$2:$A$100,B191),RULE_KATEGORI!$B$2:$B$100),"OPERASIONAL")</f>
        <v/>
      </c>
      <c r="G191" t="inlineStr">
        <is>
          <t>12</t>
        </is>
      </c>
      <c r="H191" t="inlineStr">
        <is>
          <t>2025</t>
        </is>
      </c>
    </row>
    <row r="192">
      <c r="A192" t="inlineStr">
        <is>
          <t>30/12</t>
        </is>
      </c>
      <c r="B192" t="inlineStr">
        <is>
          <t>TRANSAKSI DEBIT TGL: 30/12</t>
        </is>
      </c>
      <c r="C192" t="n">
        <v>7190000</v>
      </c>
      <c r="D192" t="n">
        <v>0</v>
      </c>
      <c r="E192">
        <f>IFERROR(LOOKUP(2^15,SEARCH(RULE_KATEGORI!$A$2:$A$100,B192),RULE_KATEGORI!$B$2:$B$100),"OPERASIONAL")</f>
        <v/>
      </c>
      <c r="G192" t="inlineStr">
        <is>
          <t>12</t>
        </is>
      </c>
      <c r="H192" t="inlineStr">
        <is>
          <t>2025</t>
        </is>
      </c>
    </row>
    <row r="193">
      <c r="A193" t="inlineStr">
        <is>
          <t>30/12</t>
        </is>
      </c>
      <c r="B193" t="inlineStr">
        <is>
          <t>TRANSAKSI DEBIT TGL: 30/12</t>
        </is>
      </c>
      <c r="C193" t="n">
        <v>7300000</v>
      </c>
      <c r="D193" t="n">
        <v>0</v>
      </c>
      <c r="E193">
        <f>IFERROR(LOOKUP(2^15,SEARCH(RULE_KATEGORI!$A$2:$A$100,B193),RULE_KATEGORI!$B$2:$B$100),"OPERASIONAL")</f>
        <v/>
      </c>
      <c r="G193" t="inlineStr">
        <is>
          <t>12</t>
        </is>
      </c>
      <c r="H193" t="inlineStr">
        <is>
          <t>2025</t>
        </is>
      </c>
    </row>
    <row r="194">
      <c r="A194" t="inlineStr">
        <is>
          <t>30/12</t>
        </is>
      </c>
      <c r="B194" t="inlineStr">
        <is>
          <t>TRANSAKSI DEBIT TGL: 30/12</t>
        </is>
      </c>
      <c r="C194" t="n">
        <v>5000000</v>
      </c>
      <c r="D194" t="n">
        <v>0</v>
      </c>
      <c r="E194">
        <f>IFERROR(LOOKUP(2^15,SEARCH(RULE_KATEGORI!$A$2:$A$100,B194),RULE_KATEGORI!$B$2:$B$100),"OPERASIONAL")</f>
        <v/>
      </c>
      <c r="G194" t="inlineStr">
        <is>
          <t>12</t>
        </is>
      </c>
      <c r="H194" t="inlineStr">
        <is>
          <t>2025</t>
        </is>
      </c>
    </row>
    <row r="195">
      <c r="A195" t="inlineStr">
        <is>
          <t>30/12</t>
        </is>
      </c>
      <c r="B195" t="inlineStr">
        <is>
          <t>TRSF E-BANKING DB 3012/FTFVA/WS95271 56,000.00</t>
        </is>
      </c>
      <c r="C195" t="n">
        <v>0</v>
      </c>
      <c r="D195" t="n">
        <v>668800074</v>
      </c>
      <c r="E195">
        <f>IFERROR(LOOKUP(2^15,SEARCH(RULE_KATEGORI!$A$2:$A$100,B195),RULE_KATEGORI!$B$2:$B$100),"OPERASIONAL")</f>
        <v/>
      </c>
      <c r="G195" t="inlineStr">
        <is>
          <t>12</t>
        </is>
      </c>
      <c r="H195" t="inlineStr">
        <is>
          <t>2025</t>
        </is>
      </c>
    </row>
    <row r="196">
      <c r="A196" t="inlineStr">
        <is>
          <t>31/12</t>
        </is>
      </c>
      <c r="B196" t="inlineStr">
        <is>
          <t>BYR VIA E-BANKING 31/12 WSID9527100</t>
        </is>
      </c>
      <c r="C196" t="n">
        <v>10300000</v>
      </c>
      <c r="D196" t="n">
        <v>0</v>
      </c>
      <c r="E196">
        <f>IFERROR(LOOKUP(2^15,SEARCH(RULE_KATEGORI!$A$2:$A$100,B196),RULE_KATEGORI!$B$2:$B$100),"OPERASIONAL")</f>
        <v/>
      </c>
      <c r="G196" t="inlineStr">
        <is>
          <t>12</t>
        </is>
      </c>
      <c r="H196" t="inlineStr">
        <is>
          <t>2025</t>
        </is>
      </c>
    </row>
    <row r="197">
      <c r="A197" t="inlineStr">
        <is>
          <t>31/12</t>
        </is>
      </c>
      <c r="B197" t="inlineStr">
        <is>
          <t>TRANSAKSI DEBIT TGL: 31/12</t>
        </is>
      </c>
      <c r="C197" t="n">
        <v>3720000</v>
      </c>
      <c r="D197" t="n">
        <v>0</v>
      </c>
      <c r="E197">
        <f>IFERROR(LOOKUP(2^15,SEARCH(RULE_KATEGORI!$A$2:$A$100,B197),RULE_KATEGORI!$B$2:$B$100),"OPERASIONAL")</f>
        <v/>
      </c>
      <c r="G197" t="inlineStr">
        <is>
          <t>12</t>
        </is>
      </c>
      <c r="H197" t="inlineStr">
        <is>
          <t>2025</t>
        </is>
      </c>
    </row>
    <row r="198">
      <c r="A198" t="inlineStr">
        <is>
          <t>31/12</t>
        </is>
      </c>
      <c r="B198" t="inlineStr">
        <is>
          <t>TRANSAKSI DEBIT TGL: 31/12</t>
        </is>
      </c>
      <c r="C198" t="n">
        <v>2000000</v>
      </c>
      <c r="D198" t="n">
        <v>0</v>
      </c>
      <c r="E198">
        <f>IFERROR(LOOKUP(2^15,SEARCH(RULE_KATEGORI!$A$2:$A$100,B198),RULE_KATEGORI!$B$2:$B$100),"OPERASIONAL")</f>
        <v/>
      </c>
      <c r="G198" t="inlineStr">
        <is>
          <t>12</t>
        </is>
      </c>
      <c r="H198" t="inlineStr">
        <is>
          <t>2025</t>
        </is>
      </c>
    </row>
    <row r="199">
      <c r="A199" t="inlineStr">
        <is>
          <t>31/12</t>
        </is>
      </c>
      <c r="B199" t="inlineStr">
        <is>
          <t>TRANSAKSI DEBIT TGL: 31/12 30,000.00</t>
        </is>
      </c>
      <c r="C199" t="n">
        <v>0</v>
      </c>
      <c r="D199" t="n">
        <v>649780074</v>
      </c>
      <c r="E199">
        <f>IFERROR(LOOKUP(2^15,SEARCH(RULE_KATEGORI!$A$2:$A$100,B199),RULE_KATEGORI!$B$2:$B$100),"OPERASIONAL")</f>
        <v/>
      </c>
      <c r="G199" t="inlineStr">
        <is>
          <t>12</t>
        </is>
      </c>
      <c r="H199" t="inlineStr">
        <is>
          <t>2025</t>
        </is>
      </c>
    </row>
    <row r="200">
      <c r="A200" t="inlineStr">
        <is>
          <t>31/12</t>
        </is>
      </c>
      <c r="B200" t="inlineStr">
        <is>
          <t>TRANSAKSI DEBIT TGL: 31/12 50,000.00</t>
        </is>
      </c>
      <c r="C200" t="n">
        <v>0</v>
      </c>
      <c r="D200" t="n">
        <v>644780074</v>
      </c>
      <c r="E200">
        <f>IFERROR(LOOKUP(2^15,SEARCH(RULE_KATEGORI!$A$2:$A$100,B200),RULE_KATEGORI!$B$2:$B$100),"OPERASIONAL")</f>
        <v/>
      </c>
      <c r="G200" t="inlineStr">
        <is>
          <t>12</t>
        </is>
      </c>
      <c r="H200" t="inlineStr">
        <is>
          <t>2025</t>
        </is>
      </c>
    </row>
    <row r="201">
      <c r="A201" t="inlineStr">
        <is>
          <t>31/12</t>
        </is>
      </c>
      <c r="B201" t="inlineStr">
        <is>
          <t>KARTU DEBIT IDM T795-PERMATA P</t>
        </is>
      </c>
      <c r="C201" t="n">
        <v>38990000</v>
      </c>
      <c r="D201" t="n">
        <v>0</v>
      </c>
      <c r="E201">
        <f>IFERROR(LOOKUP(2^15,SEARCH(RULE_KATEGORI!$A$2:$A$100,B201),RULE_KATEGORI!$B$2:$B$100),"OPERASIONAL")</f>
        <v/>
      </c>
      <c r="G201" t="inlineStr">
        <is>
          <t>12</t>
        </is>
      </c>
      <c r="H201" t="inlineStr">
        <is>
          <t>2025</t>
        </is>
      </c>
    </row>
    <row r="202">
      <c r="A202" t="inlineStr">
        <is>
          <t>31/12</t>
        </is>
      </c>
      <c r="B202" t="inlineStr">
        <is>
          <t>TRSF E-BANKING DB 3112/FTSCY/WS95271</t>
        </is>
      </c>
      <c r="C202" t="n">
        <v>20000000</v>
      </c>
      <c r="D202" t="n">
        <v>0</v>
      </c>
      <c r="E202">
        <f>IFERROR(LOOKUP(2^15,SEARCH(RULE_KATEGORI!$A$2:$A$100,B202),RULE_KATEGORI!$B$2:$B$100),"OPERASIONAL")</f>
        <v/>
      </c>
      <c r="G202" t="inlineStr">
        <is>
          <t>12</t>
        </is>
      </c>
      <c r="H202" t="inlineStr">
        <is>
          <t>2025</t>
        </is>
      </c>
    </row>
    <row r="203">
      <c r="A203" t="inlineStr">
        <is>
          <t>31/12</t>
        </is>
      </c>
      <c r="B203" t="inlineStr">
        <is>
          <t>DB DEBIT DOMESTIK TRN DEBIT DOM 008</t>
        </is>
      </c>
      <c r="C203" t="n">
        <v>7700000</v>
      </c>
      <c r="D203" t="n">
        <v>0</v>
      </c>
      <c r="E203">
        <f>IFERROR(LOOKUP(2^15,SEARCH(RULE_KATEGORI!$A$2:$A$100,B203),RULE_KATEGORI!$B$2:$B$100),"OPERASIONAL")</f>
        <v/>
      </c>
      <c r="G203" t="inlineStr">
        <is>
          <t>12</t>
        </is>
      </c>
      <c r="H203" t="inlineStr">
        <is>
          <t>2025</t>
        </is>
      </c>
    </row>
    <row r="204">
      <c r="A204" t="inlineStr">
        <is>
          <t>31/12</t>
        </is>
      </c>
      <c r="B204" t="inlineStr">
        <is>
          <t>TRSF E-BANKING DB 3112/FTFVA/WS95271</t>
        </is>
      </c>
      <c r="C204" t="n">
        <v>55000000</v>
      </c>
      <c r="D204" t="n">
        <v>0</v>
      </c>
      <c r="E204">
        <f>IFERROR(LOOKUP(2^15,SEARCH(RULE_KATEGORI!$A$2:$A$100,B204),RULE_KATEGORI!$B$2:$B$100),"OPERASIONAL")</f>
        <v/>
      </c>
      <c r="G204" t="inlineStr">
        <is>
          <t>12</t>
        </is>
      </c>
      <c r="H204" t="inlineStr">
        <is>
          <t>2025</t>
        </is>
      </c>
    </row>
    <row r="205">
      <c r="A205" t="inlineStr">
        <is>
          <t>31/12</t>
        </is>
      </c>
      <c r="B205" t="inlineStr">
        <is>
          <t>TRSF E-BANKING DB 3112/FTSCY/WS95271 1,000,000.00</t>
        </is>
      </c>
      <c r="C205" t="n">
        <v>0</v>
      </c>
      <c r="D205" t="n">
        <v>423090074</v>
      </c>
      <c r="E205">
        <f>IFERROR(LOOKUP(2^15,SEARCH(RULE_KATEGORI!$A$2:$A$100,B205),RULE_KATEGORI!$B$2:$B$100),"OPERASIONAL")</f>
        <v/>
      </c>
      <c r="G205" t="inlineStr">
        <is>
          <t>12</t>
        </is>
      </c>
      <c r="H205" t="inlineStr">
        <is>
          <t>2025</t>
        </is>
      </c>
    </row>
  </sheetData>
  <dataValidations count="1">
    <dataValidation sqref="G2:G1000" showDropDown="0" showInputMessage="0" showErrorMessage="0" allowBlank="1" type="list">
      <formula1>"01,02,03,04,05,06,07,08,09,10,11,12"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 PER KATEGORI</t>
        </is>
      </c>
    </row>
    <row r="2">
      <c r="A2" s="3" t="inlineStr">
        <is>
          <t>Kategori</t>
        </is>
      </c>
      <c r="B2" s="3" t="inlineStr">
        <is>
          <t>Total (Rp)</t>
        </is>
      </c>
    </row>
    <row r="3">
      <c r="A3" t="inlineStr">
        <is>
          <t>PEMASUKAN</t>
        </is>
      </c>
      <c r="B3">
        <f>SUMIF(MASTER_DATA!E:E,"PEMASUKAN*",MASTER_DATA!C:C)+SUMIF(MASTER_DATA!E:E,"PEMASUKAN*",MASTER_DATA!D:D)</f>
        <v/>
      </c>
    </row>
    <row r="4">
      <c r="A4" t="inlineStr">
        <is>
          <t>GAJI</t>
        </is>
      </c>
      <c r="B4">
        <f>SUMIF(MASTER_DATA!E:E,"GAJI*",MASTER_DATA!C:C)+SUMIF(MASTER_DATA!E:E,"GAJI*",MASTER_DATA!D:D)</f>
        <v/>
      </c>
    </row>
    <row r="5">
      <c r="A5" t="inlineStr">
        <is>
          <t>BELANJA ONLINE</t>
        </is>
      </c>
      <c r="B5">
        <f>SUMIF(MASTER_DATA!E:E,"BELANJA ONLINE*",MASTER_DATA!C:C)+SUMIF(MASTER_DATA!E:E,"BELANJA ONLINE*",MASTER_DATA!D:D)</f>
        <v/>
      </c>
    </row>
    <row r="6">
      <c r="A6" t="inlineStr">
        <is>
          <t>OPERASIONAL</t>
        </is>
      </c>
      <c r="B6">
        <f>SUMIF(MASTER_DATA!E:E,"OPERASIONAL*",MASTER_DATA!C:C)+SUMIF(MASTER_DATA!E:E,"OPERASIONAL*",MASTER_DATA!D:D)</f>
        <v/>
      </c>
    </row>
    <row r="7">
      <c r="A7" t="inlineStr">
        <is>
          <t>LISTRIK</t>
        </is>
      </c>
      <c r="B7">
        <f>SUMIF(MASTER_DATA!E:E,"LISTRIK*",MASTER_DATA!C:C)+SUMIF(MASTER_DATA!E:E,"LISTRIK*",MASTER_DATA!D:D)</f>
        <v/>
      </c>
    </row>
    <row r="8">
      <c r="A8" t="inlineStr">
        <is>
          <t>PRIVE</t>
        </is>
      </c>
      <c r="B8">
        <f>SUMIF(MASTER_DATA!E:E,"PRIVE*",MASTER_DATA!C:C)+SUMIF(MASTER_DATA!E:E,"PRIVE*",MASTER_DATA!D:D)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LAPORAN LABA RUGI</t>
        </is>
      </c>
    </row>
    <row r="2">
      <c r="A2" t="inlineStr">
        <is>
          <t>Pendapatan</t>
        </is>
      </c>
      <c r="B2">
        <f>SUMIF(MASTER_DATA!E:E,"PEMASUKAN*",MASTER_DATA!D:D)</f>
        <v/>
      </c>
    </row>
    <row r="3">
      <c r="A3" t="inlineStr">
        <is>
          <t>Beban</t>
        </is>
      </c>
      <c r="B3">
        <f>SUM(MASTER_DATA!C:C)</f>
        <v/>
      </c>
    </row>
    <row r="4">
      <c r="A4" t="inlineStr">
        <is>
          <t>Laba Bersih</t>
        </is>
      </c>
      <c r="B4">
        <f>B2-B3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NERACA</t>
        </is>
      </c>
    </row>
    <row r="2">
      <c r="A2" t="inlineStr">
        <is>
          <t>ASET</t>
        </is>
      </c>
    </row>
    <row r="3">
      <c r="A3" t="inlineStr">
        <is>
          <t>Kas/Bank</t>
        </is>
      </c>
      <c r="B3">
        <f>SUMMARY!B2</f>
        <v/>
      </c>
    </row>
    <row r="5">
      <c r="A5" t="inlineStr">
        <is>
          <t>MODAL</t>
        </is>
      </c>
    </row>
    <row r="6">
      <c r="A6" t="inlineStr">
        <is>
          <t>Modal Awal</t>
        </is>
      </c>
      <c r="B6" t="inlineStr">
        <is>
          <t>0</t>
        </is>
      </c>
    </row>
    <row r="7">
      <c r="A7" t="inlineStr">
        <is>
          <t>Laba Ditahan</t>
        </is>
      </c>
      <c r="B7">
        <f>SUMMARY!B4</f>
        <v/>
      </c>
    </row>
    <row r="8">
      <c r="A8" t="inlineStr">
        <is>
          <t>Prive</t>
        </is>
      </c>
      <c r="B8">
        <f>SUMIF(MASTER_DATA!E:E,"PRIVE",MASTER_DATA!C:C)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GRAFIK</t>
        </is>
      </c>
    </row>
    <row r="2">
      <c r="A2" t="inlineStr">
        <is>
          <t>Keterangan</t>
        </is>
      </c>
      <c r="B2" t="inlineStr">
        <is>
          <t>Nilai</t>
        </is>
      </c>
    </row>
    <row r="3">
      <c r="A3" t="inlineStr">
        <is>
          <t>Pemasukan</t>
        </is>
      </c>
      <c r="B3">
        <f>SUMMARY!B2</f>
        <v/>
      </c>
    </row>
    <row r="4">
      <c r="A4" t="inlineStr">
        <is>
          <t>Pengeluaran</t>
        </is>
      </c>
      <c r="B4">
        <f>SUMMARY!B3</f>
        <v/>
      </c>
    </row>
    <row r="5">
      <c r="A5" t="inlineStr">
        <is>
          <t>Laba</t>
        </is>
      </c>
      <c r="B5">
        <f>SUMMARY!B4</f>
        <v/>
      </c>
    </row>
    <row r="7">
      <c r="A7" t="inlineStr">
        <is>
          <t>Kategori</t>
        </is>
      </c>
      <c r="B7" t="inlineStr">
        <is>
          <t>Total</t>
        </is>
      </c>
    </row>
    <row r="8">
      <c r="A8" t="inlineStr">
        <is>
          <t>PEMASUKAN</t>
        </is>
      </c>
      <c r="B8">
        <f>SUMIF(MASTER_DATA!E:E,"PEMASUKAN",MASTER_DATA!C:C)+SUMIF(MASTER_DATA!E:E,"PEMASUKAN",MASTER_DATA!D:D)</f>
        <v/>
      </c>
    </row>
    <row r="9">
      <c r="A9" t="inlineStr">
        <is>
          <t>GAJI</t>
        </is>
      </c>
      <c r="B9">
        <f>SUMIF(MASTER_DATA!E:E,"GAJI",MASTER_DATA!C:C)+SUMIF(MASTER_DATA!E:E,"GAJI",MASTER_DATA!D:D)</f>
        <v/>
      </c>
    </row>
    <row r="10">
      <c r="A10" t="inlineStr">
        <is>
          <t>BELANJA ONLINE</t>
        </is>
      </c>
      <c r="B10">
        <f>SUMIF(MASTER_DATA!E:E,"BELANJA ONLINE",MASTER_DATA!C:C)+SUMIF(MASTER_DATA!E:E,"BELANJA ONLINE",MASTER_DATA!D:D)</f>
        <v/>
      </c>
    </row>
    <row r="11">
      <c r="A11" t="inlineStr">
        <is>
          <t>OPERASIONAL</t>
        </is>
      </c>
      <c r="B11">
        <f>SUMIF(MASTER_DATA!E:E,"OPERASIONAL",MASTER_DATA!C:C)+SUMIF(MASTER_DATA!E:E,"OPERASIONAL",MASTER_DATA!D:D)</f>
        <v/>
      </c>
    </row>
    <row r="12">
      <c r="A12" t="inlineStr">
        <is>
          <t>LISTRIK</t>
        </is>
      </c>
      <c r="B12">
        <f>SUMIF(MASTER_DATA!E:E,"LISTRIK",MASTER_DATA!C:C)+SUMIF(MASTER_DATA!E:E,"LISTRIK",MASTER_DATA!D:D)</f>
        <v/>
      </c>
    </row>
    <row r="13">
      <c r="A13" t="inlineStr">
        <is>
          <t>PRIVE</t>
        </is>
      </c>
      <c r="B13">
        <f>SUMIF(MASTER_DATA!E:E,"PRIVE",MASTER_DATA!C:C)+SUMIF(MASTER_DATA!E:E,"PRIVE",MASTER_DATA!D:D)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Keyword BCA</t>
        </is>
      </c>
      <c r="B1" s="4" t="inlineStr">
        <is>
          <t>Kategori</t>
        </is>
      </c>
    </row>
    <row r="2">
      <c r="A2" t="inlineStr">
        <is>
          <t>TRF DARI</t>
        </is>
      </c>
      <c r="B2" t="inlineStr">
        <is>
          <t>PEMASUKAN</t>
        </is>
      </c>
    </row>
    <row r="3">
      <c r="A3" t="inlineStr">
        <is>
          <t>SETOR</t>
        </is>
      </c>
      <c r="B3" t="inlineStr">
        <is>
          <t>PEMASUKAN</t>
        </is>
      </c>
    </row>
    <row r="4">
      <c r="A4" t="inlineStr">
        <is>
          <t>GAJI</t>
        </is>
      </c>
      <c r="B4" t="inlineStr">
        <is>
          <t>GAJI</t>
        </is>
      </c>
    </row>
    <row r="5">
      <c r="A5" t="inlineStr">
        <is>
          <t>UPAH</t>
        </is>
      </c>
      <c r="B5" t="inlineStr">
        <is>
          <t>GAJI</t>
        </is>
      </c>
    </row>
    <row r="6">
      <c r="A6" t="inlineStr">
        <is>
          <t>SHOPEE</t>
        </is>
      </c>
      <c r="B6" t="inlineStr">
        <is>
          <t>BELANJA ONLINE</t>
        </is>
      </c>
    </row>
    <row r="7">
      <c r="A7" t="inlineStr">
        <is>
          <t>TOKOPEDIA</t>
        </is>
      </c>
      <c r="B7" t="inlineStr">
        <is>
          <t>BELANJA ONLINE</t>
        </is>
      </c>
    </row>
    <row r="8">
      <c r="A8" t="inlineStr">
        <is>
          <t>GOJEK</t>
        </is>
      </c>
      <c r="B8" t="inlineStr">
        <is>
          <t>BELANJA ONLINE</t>
        </is>
      </c>
    </row>
    <row r="9">
      <c r="A9" t="inlineStr">
        <is>
          <t>GRAB</t>
        </is>
      </c>
      <c r="B9" t="inlineStr">
        <is>
          <t>BELANJA ONLINE</t>
        </is>
      </c>
    </row>
    <row r="10">
      <c r="A10" t="inlineStr">
        <is>
          <t>PLN</t>
        </is>
      </c>
      <c r="B10" t="inlineStr">
        <is>
          <t>LISTRIK</t>
        </is>
      </c>
    </row>
    <row r="11">
      <c r="A11" t="inlineStr">
        <is>
          <t>TOKEN</t>
        </is>
      </c>
      <c r="B11" t="inlineStr">
        <is>
          <t>LISTRIK</t>
        </is>
      </c>
    </row>
    <row r="12">
      <c r="A12" t="inlineStr">
        <is>
          <t>BBM</t>
        </is>
      </c>
      <c r="B12" t="inlineStr">
        <is>
          <t>OPERASIONAL</t>
        </is>
      </c>
    </row>
    <row r="13">
      <c r="A13" t="inlineStr">
        <is>
          <t>PERTAMINA</t>
        </is>
      </c>
      <c r="B13" t="inlineStr">
        <is>
          <t>OPERASIONAL</t>
        </is>
      </c>
    </row>
    <row r="14">
      <c r="A14" t="inlineStr">
        <is>
          <t>PRIVE</t>
        </is>
      </c>
      <c r="B14" t="inlineStr">
        <is>
          <t>PRIVE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Total Pemasukan</t>
        </is>
      </c>
      <c r="C1" t="inlineStr">
        <is>
          <t>Total Pengeluaran</t>
        </is>
      </c>
      <c r="D1" t="inlineStr">
        <is>
          <t>Laba Bersih</t>
        </is>
      </c>
    </row>
    <row r="2">
      <c r="A2" t="inlineStr">
        <is>
          <t>Jan</t>
        </is>
      </c>
      <c r="B2">
        <f>SUMIFS(MASTER_DATA!D:D,MASTER_DATA!F:F,"01")</f>
        <v/>
      </c>
      <c r="C2">
        <f>SUMIFS(MASTER_DATA!C:C,MASTER_DATA!F:F,"01")</f>
        <v/>
      </c>
      <c r="D2">
        <f>B2-C2</f>
        <v/>
      </c>
    </row>
    <row r="3">
      <c r="A3" t="inlineStr">
        <is>
          <t>Feb</t>
        </is>
      </c>
      <c r="B3">
        <f>SUMIFS(MASTER_DATA!D:D,MASTER_DATA!F:F,"02")</f>
        <v/>
      </c>
      <c r="C3">
        <f>SUMIFS(MASTER_DATA!C:C,MASTER_DATA!F:F,"02")</f>
        <v/>
      </c>
      <c r="D3">
        <f>B3-C3</f>
        <v/>
      </c>
    </row>
    <row r="4">
      <c r="A4" t="inlineStr">
        <is>
          <t>Mar</t>
        </is>
      </c>
      <c r="B4">
        <f>SUMIFS(MASTER_DATA!D:D,MASTER_DATA!F:F,"03")</f>
        <v/>
      </c>
      <c r="C4">
        <f>SUMIFS(MASTER_DATA!C:C,MASTER_DATA!F:F,"03")</f>
        <v/>
      </c>
      <c r="D4">
        <f>B4-C4</f>
        <v/>
      </c>
    </row>
    <row r="5">
      <c r="A5" t="inlineStr">
        <is>
          <t>Apr</t>
        </is>
      </c>
      <c r="B5">
        <f>SUMIFS(MASTER_DATA!D:D,MASTER_DATA!F:F,"04")</f>
        <v/>
      </c>
      <c r="C5">
        <f>SUMIFS(MASTER_DATA!C:C,MASTER_DATA!F:F,"04")</f>
        <v/>
      </c>
      <c r="D5">
        <f>B5-C5</f>
        <v/>
      </c>
    </row>
    <row r="6">
      <c r="A6" t="inlineStr">
        <is>
          <t>Mei</t>
        </is>
      </c>
      <c r="B6">
        <f>SUMIFS(MASTER_DATA!D:D,MASTER_DATA!F:F,"05")</f>
        <v/>
      </c>
      <c r="C6">
        <f>SUMIFS(MASTER_DATA!C:C,MASTER_DATA!F:F,"05")</f>
        <v/>
      </c>
      <c r="D6">
        <f>B6-C6</f>
        <v/>
      </c>
    </row>
    <row r="7">
      <c r="A7" t="inlineStr">
        <is>
          <t>Jun</t>
        </is>
      </c>
      <c r="B7">
        <f>SUMIFS(MASTER_DATA!D:D,MASTER_DATA!F:F,"06")</f>
        <v/>
      </c>
      <c r="C7">
        <f>SUMIFS(MASTER_DATA!C:C,MASTER_DATA!F:F,"06")</f>
        <v/>
      </c>
      <c r="D7">
        <f>B7-C7</f>
        <v/>
      </c>
    </row>
    <row r="8">
      <c r="A8" t="inlineStr">
        <is>
          <t>Jul</t>
        </is>
      </c>
      <c r="B8">
        <f>SUMIFS(MASTER_DATA!D:D,MASTER_DATA!F:F,"07")</f>
        <v/>
      </c>
      <c r="C8">
        <f>SUMIFS(MASTER_DATA!C:C,MASTER_DATA!F:F,"07")</f>
        <v/>
      </c>
      <c r="D8">
        <f>B8-C8</f>
        <v/>
      </c>
    </row>
    <row r="9">
      <c r="A9" t="inlineStr">
        <is>
          <t>Agu</t>
        </is>
      </c>
      <c r="B9">
        <f>SUMIFS(MASTER_DATA!D:D,MASTER_DATA!F:F,"08")</f>
        <v/>
      </c>
      <c r="C9">
        <f>SUMIFS(MASTER_DATA!C:C,MASTER_DATA!F:F,"08")</f>
        <v/>
      </c>
      <c r="D9">
        <f>B9-C9</f>
        <v/>
      </c>
    </row>
    <row r="10">
      <c r="A10" t="inlineStr">
        <is>
          <t>Sep</t>
        </is>
      </c>
      <c r="B10">
        <f>SUMIFS(MASTER_DATA!D:D,MASTER_DATA!F:F,"09")</f>
        <v/>
      </c>
      <c r="C10">
        <f>SUMIFS(MASTER_DATA!C:C,MASTER_DATA!F:F,"09")</f>
        <v/>
      </c>
      <c r="D10">
        <f>B10-C10</f>
        <v/>
      </c>
    </row>
    <row r="11">
      <c r="A11" t="inlineStr">
        <is>
          <t>Okt</t>
        </is>
      </c>
      <c r="B11">
        <f>SUMIFS(MASTER_DATA!D:D,MASTER_DATA!F:F,"10")</f>
        <v/>
      </c>
      <c r="C11">
        <f>SUMIFS(MASTER_DATA!C:C,MASTER_DATA!F:F,"10")</f>
        <v/>
      </c>
      <c r="D11">
        <f>B11-C11</f>
        <v/>
      </c>
    </row>
    <row r="12">
      <c r="A12" t="inlineStr">
        <is>
          <t>Nov</t>
        </is>
      </c>
      <c r="B12">
        <f>SUMIFS(MASTER_DATA!D:D,MASTER_DATA!F:F,"11")</f>
        <v/>
      </c>
      <c r="C12">
        <f>SUMIFS(MASTER_DATA!C:C,MASTER_DATA!F:F,"11")</f>
        <v/>
      </c>
      <c r="D12">
        <f>B12-C12</f>
        <v/>
      </c>
    </row>
    <row r="13">
      <c r="A13" t="inlineStr">
        <is>
          <t>Des</t>
        </is>
      </c>
      <c r="B13">
        <f>SUMIFS(MASTER_DATA!D:D,MASTER_DATA!F:F,"12")</f>
        <v/>
      </c>
      <c r="C13">
        <f>SUMIFS(MASTER_DATA!C:C,MASTER_DATA!F:F,"12")</f>
        <v/>
      </c>
      <c r="D13">
        <f>B13-C13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2026-01-04T16:39:23Z</dcterms:created>
  <dcterms:modified xmlns:dcterms="http://purl.org/dc/terms/" xmlns:xsi="http://www.w3.org/2001/XMLSchema-instance" xsi:type="dcterms:W3CDTF">2026-01-04T16:52:35Z</dcterms:modified>
</cp:coreProperties>
</file>